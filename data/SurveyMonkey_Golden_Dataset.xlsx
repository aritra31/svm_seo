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ritraray/Desktop/SurveyMonkey copy/data/"/>
    </mc:Choice>
  </mc:AlternateContent>
  <xr:revisionPtr revIDLastSave="0" documentId="13_ncr:1_{806325D2-BBFD-9646-A376-CCDE184A8C98}" xr6:coauthVersionLast="47" xr6:coauthVersionMax="47" xr10:uidLastSave="{00000000-0000-0000-0000-000000000000}"/>
  <bookViews>
    <workbookView xWindow="0" yWindow="780" windowWidth="29400" windowHeight="17300" xr2:uid="{00000000-000D-0000-FFFF-FFFF00000000}"/>
  </bookViews>
  <sheets>
    <sheet name="Golden dataset v1" sheetId="1" r:id="rId1"/>
  </sheets>
  <definedNames>
    <definedName name="_xlnm._FilterDatabase" localSheetId="0" hidden="1">'Golden dataset v1'!$C$1:$C$79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J52" i="1"/>
  <c r="K52" i="1"/>
  <c r="K3" i="1"/>
  <c r="J3" i="1"/>
  <c r="I3" i="1"/>
  <c r="K30" i="1"/>
  <c r="J30" i="1"/>
  <c r="I30" i="1"/>
  <c r="I31" i="1"/>
  <c r="J31" i="1"/>
  <c r="K31" i="1"/>
  <c r="I58" i="1"/>
  <c r="J58" i="1"/>
  <c r="K58" i="1"/>
  <c r="I59" i="1"/>
  <c r="J59" i="1"/>
  <c r="K59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7" i="1"/>
  <c r="J57" i="1"/>
  <c r="I57" i="1"/>
  <c r="K56" i="1"/>
  <c r="J56" i="1"/>
  <c r="K55" i="1"/>
  <c r="J55" i="1"/>
  <c r="I55" i="1"/>
  <c r="K54" i="1"/>
  <c r="J54" i="1"/>
  <c r="I54" i="1"/>
  <c r="K53" i="1"/>
  <c r="J53" i="1"/>
  <c r="I53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2" i="1"/>
  <c r="J2" i="1"/>
  <c r="I2" i="1"/>
</calcChain>
</file>

<file path=xl/sharedStrings.xml><?xml version="1.0" encoding="utf-8"?>
<sst xmlns="http://schemas.openxmlformats.org/spreadsheetml/2006/main" count="556" uniqueCount="413">
  <si>
    <t>id</t>
  </si>
  <si>
    <t>query_text</t>
  </si>
  <si>
    <t>category</t>
  </si>
  <si>
    <t>expected_title</t>
  </si>
  <si>
    <t>expected_url</t>
  </si>
  <si>
    <t>acceptable_urls</t>
  </si>
  <si>
    <t>variants</t>
  </si>
  <si>
    <t>current_rank</t>
  </si>
  <si>
    <t>success_at_1</t>
  </si>
  <si>
    <t>success_at_3</t>
  </si>
  <si>
    <t>mrr_at_10</t>
  </si>
  <si>
    <t>how to create a form</t>
  </si>
  <si>
    <t>Creating Surveys</t>
  </si>
  <si>
    <t>https://help.surveymonkey.com/en/surveymonkey/create/forms</t>
  </si>
  <si>
    <t>create a form;start a form;make a form</t>
  </si>
  <si>
    <t>2</t>
  </si>
  <si>
    <t>How to show different survey based on respondents’ answer</t>
  </si>
  <si>
    <t>https://help.surveymonkey.com/en/surveymonkey/create/advanced-branching</t>
  </si>
  <si>
    <t>5</t>
  </si>
  <si>
    <t>how do I add blocks of questions to my survey</t>
  </si>
  <si>
    <t>https://help.surveymonkey.com/en/surveymonkey/create/block-randomization</t>
  </si>
  <si>
    <t>6</t>
  </si>
  <si>
    <t>how to getting started with forms</t>
  </si>
  <si>
    <t>8</t>
  </si>
  <si>
    <t>how to create an ab test</t>
  </si>
  <si>
    <t>https://help.surveymonkey.com/en/surveymonkey/create/ab-tests</t>
  </si>
  <si>
    <t>15</t>
  </si>
  <si>
    <t>https://help.surveymonkey.com/en/surveymonkey/create/formatting-text</t>
  </si>
  <si>
    <t>change text style;font size;typography;bold italics</t>
  </si>
  <si>
    <t>16</t>
  </si>
  <si>
    <t>how to question skip logic</t>
  </si>
  <si>
    <t>https://help.surveymonkey.com/en/surveymonkey/create/question-skip-logic</t>
  </si>
  <si>
    <t>conditional questions;show hide questions;branching question;page logic</t>
  </si>
  <si>
    <t>25</t>
  </si>
  <si>
    <t>how to build a survey</t>
  </si>
  <si>
    <t>Creating a Survey</t>
  </si>
  <si>
    <t>https://help.surveymonkey.com/en/surveymonkey/create/creating-a-survey</t>
  </si>
  <si>
    <t>create a survey;start survey;new survey</t>
  </si>
  <si>
    <t>26</t>
  </si>
  <si>
    <t>how to build surveys with ai</t>
  </si>
  <si>
    <t>Build Surveys with AI</t>
  </si>
  <si>
    <t>https://help.surveymonkey.com/en/surveymonkey/create/build-with-ai</t>
  </si>
  <si>
    <t>ai survey;generate survey;ai builder</t>
  </si>
  <si>
    <t>7</t>
  </si>
  <si>
    <t>How to use a collector to track data about people who take your survey?</t>
  </si>
  <si>
    <t>Sending Surveys</t>
  </si>
  <si>
    <t>https://help.surveymonkey.com/en/surveymonkey/send/custom-variables</t>
  </si>
  <si>
    <t>web collector link, delete custom variables after collection</t>
  </si>
  <si>
    <t>9</t>
  </si>
  <si>
    <t>track respondents;pass data in link;url parameters</t>
  </si>
  <si>
    <t>12</t>
  </si>
  <si>
    <t>https://help.surveymonkey.com/en/surveymonkey/send/sending-your-survey</t>
  </si>
  <si>
    <t>how to send survey;send options;share survey</t>
  </si>
  <si>
    <t>13</t>
  </si>
  <si>
    <t>https://help.surveymonkey.com/en/surveymonkey/send/web-link-collector</t>
  </si>
  <si>
    <t>public link;open link collector;custom url ending;shareable link</t>
  </si>
  <si>
    <t>23</t>
  </si>
  <si>
    <t>https://help.surveymonkey.com/en/surveymonkey/send/email-send-limits</t>
  </si>
  <si>
    <t>email authentication;deliverability;domain setup</t>
  </si>
  <si>
    <t>24</t>
  </si>
  <si>
    <t>https://help.surveymonkey.com/en/surveymonkey/send/social-media-collector</t>
  </si>
  <si>
    <t>qr collector;qr code link;scan to take survey</t>
  </si>
  <si>
    <t>41</t>
  </si>
  <si>
    <t>send options;share survey;distribute survey, what is collector</t>
  </si>
  <si>
    <t>42</t>
  </si>
  <si>
    <t>send via email;email collector;email invite</t>
  </si>
  <si>
    <t>43</t>
  </si>
  <si>
    <t>https://help.surveymonkey.com/en/surveymonkey/send/importing-email-lists</t>
  </si>
  <si>
    <t>import emails;upload contacts;add recipients</t>
  </si>
  <si>
    <t>10</t>
  </si>
  <si>
    <t>Analyzing Results</t>
  </si>
  <si>
    <t>https://help.surveymonkey.com/en/surveymonkey/analyze/exports</t>
  </si>
  <si>
    <t>download csv;export data;get raw data;xls export</t>
  </si>
  <si>
    <t>11</t>
  </si>
  <si>
    <t>https://help.surveymonkey.com/en/surveymonkey/analyze/individual-responses</t>
  </si>
  <si>
    <t>where is one response;inspect respondent answers;response viewer</t>
  </si>
  <si>
    <t>14</t>
  </si>
  <si>
    <t>https://help.surveymonkey.com/en/surveymonkey/analyze/analyze-with-ai</t>
  </si>
  <si>
    <t>ai insights;ai summaries;open-ended ai analysis,</t>
  </si>
  <si>
    <t>22</t>
  </si>
  <si>
    <t>how to crosstab reports</t>
  </si>
  <si>
    <t>https://help.surveymonkey.com/en/surveymonkey/analyze/crosstabs</t>
  </si>
  <si>
    <t>cross tabulation;compare questions;pivot table</t>
  </si>
  <si>
    <t>50</t>
  </si>
  <si>
    <t>how to analyze results</t>
  </si>
  <si>
    <t>https://help.surveymonkey.com/en/surveymonkey/analyze/analyzing-results</t>
  </si>
  <si>
    <t>analyze data;view results;summary</t>
  </si>
  <si>
    <t>https://help.surveymonkey.com/en/surveymonkey/analyze/filter-rules</t>
  </si>
  <si>
    <t>create filter;filter by question;segment results</t>
  </si>
  <si>
    <t>https://help.surveymonkey.com/en/surveymonkey/analyze/compare-rules</t>
  </si>
  <si>
    <t>compare answers;side by side;segments</t>
  </si>
  <si>
    <t>https://help.surveymonkey.com/en/surveymonkey/analyze/results-dashboards</t>
  </si>
  <si>
    <t>dashboard;share results;publish results</t>
  </si>
  <si>
    <t>54</t>
  </si>
  <si>
    <t>https://help.surveymonkey.com/en/surveymonkey/analyze/csv-exports</t>
  </si>
  <si>
    <t>download csv;raw data export;responses csv</t>
  </si>
  <si>
    <t>17</t>
  </si>
  <si>
    <t>Payments &amp; Billing</t>
  </si>
  <si>
    <t>https://help.surveymonkey.com/en/surveymonkey/billing/upgrading</t>
  </si>
  <si>
    <t>change plan;switch plan;pricing;upgrade account</t>
  </si>
  <si>
    <t>18</t>
  </si>
  <si>
    <t>how to auto-renew</t>
  </si>
  <si>
    <t>https://help.surveymonkey.com/en/surveymonkey/billing/auto-renew</t>
  </si>
  <si>
    <t>https://help.surveymonkey.com/en/surveymonkey/billing/automatic-renewals</t>
  </si>
  <si>
    <t>stop automatic renewal;turn off autorenew;autorenewal off</t>
  </si>
  <si>
    <t>69</t>
  </si>
  <si>
    <t>turn off autorenew;stop renewal;cancel subscription</t>
  </si>
  <si>
    <t>70</t>
  </si>
  <si>
    <t>https://help.surveymonkey.com/en/surveymonkey/billing/downgrading</t>
  </si>
  <si>
    <t>downgrade account;free plan;cancel paid plan</t>
  </si>
  <si>
    <t>71</t>
  </si>
  <si>
    <t>https://help.surveymonkey.com/en/surveymonkey/billing/billing-details</t>
  </si>
  <si>
    <t>download invoice;payment history;receipt</t>
  </si>
  <si>
    <t>72</t>
  </si>
  <si>
    <t>why was i charged again</t>
  </si>
  <si>
    <t>charged again;renewal charge;auto renewal charge</t>
  </si>
  <si>
    <t>73</t>
  </si>
  <si>
    <t>https://help.surveymonkey.com/en/surveymonkey/billing/monthly-payment-option</t>
  </si>
  <si>
    <t>pay monthly;monthly billing;standard monthly</t>
  </si>
  <si>
    <t>74</t>
  </si>
  <si>
    <t>https://help.surveymonkey.com/en/surveymonkey/billing/taxes</t>
  </si>
  <si>
    <t>3</t>
  </si>
  <si>
    <t>Teams &amp; Enterprise</t>
  </si>
  <si>
    <t>https://help.surveymonkey.com/en/surveymonkey/teams/sms-provisioning</t>
  </si>
  <si>
    <t>send survey by text;share survey;distribute survey</t>
  </si>
  <si>
    <t>4</t>
  </si>
  <si>
    <t>how do I organize my assets</t>
  </si>
  <si>
    <t>https://help.surveymonkey.com/en/surveymonkey/teams/library</t>
  </si>
  <si>
    <t>brand library;shared assets;company templates</t>
  </si>
  <si>
    <t>https://help.surveymonkey.com/en/surveymonkey/teams/team-roles-permissions</t>
  </si>
  <si>
    <t>roles permissions;seat types;team roles</t>
  </si>
  <si>
    <t>how to custom roles</t>
  </si>
  <si>
    <t>https://help.surveymonkey.com/en/surveymonkey/teams/custom-roles</t>
  </si>
  <si>
    <t>create role;permission set;role management</t>
  </si>
  <si>
    <t>https://help.surveymonkey.com/en/surveymonkey/teams/workgroups</t>
  </si>
  <si>
    <t>share with group;workgroup roles;collaborate</t>
  </si>
  <si>
    <t>https://help.surveymonkey.com/en/surveymonkey/teams/divisions</t>
  </si>
  <si>
    <t>enterprise divisions;org units;division library</t>
  </si>
  <si>
    <t>Managing Seats on Your Team</t>
  </si>
  <si>
    <t>https://help.surveymonkey.com/en/surveymonkey/teams/manage-seats</t>
  </si>
  <si>
    <t>invite teammates;assign seats;seat management</t>
  </si>
  <si>
    <t>https://help.surveymonkey.com/en/surveymonkey/teams/user-report</t>
  </si>
  <si>
    <t>team user report;filter users;seat type report</t>
  </si>
  <si>
    <t>19</t>
  </si>
  <si>
    <t>Your Account</t>
  </si>
  <si>
    <t>https://help.surveymonkey.com/en/surveymonkey/account/password-reset</t>
  </si>
  <si>
    <t>forgot password;change password;cant login</t>
  </si>
  <si>
    <t>75</t>
  </si>
  <si>
    <t>https://help.surveymonkey.com/en/surveymonkey/account/logging-in</t>
  </si>
  <si>
    <t>forgot password;password reset;new password</t>
  </si>
  <si>
    <t>https://help.surveymonkey.com/en/surveymonkey/account/saved-devices</t>
  </si>
  <si>
    <t>trusted devices;saved devices;remember this device</t>
  </si>
  <si>
    <t>Privacy &amp; Legal</t>
  </si>
  <si>
    <t>https://help.surveymonkey.com/en/surveymonkey/policy/surveymonkey-data</t>
  </si>
  <si>
    <t>data retention;where data stored;privacy security</t>
  </si>
  <si>
    <t>delete my data;privacy request;gdpr rights</t>
  </si>
  <si>
    <t>https://help.surveymonkey.com/en/surveymonkey/policy/legal-center-pages</t>
  </si>
  <si>
    <t>terms of use;cookies notice;security statement</t>
  </si>
  <si>
    <t>https://help.surveymonkey.com/en/surveymonkey/policy/are-responses-anonymous</t>
  </si>
  <si>
    <t>anonymous responses;track or anonymous;secure responses</t>
  </si>
  <si>
    <t>https://help.surveymonkey.com/en/surveymonkey/policy/irb-guidelines</t>
  </si>
  <si>
    <t>ethics approval;consent guidance;research compliance</t>
  </si>
  <si>
    <t>Integrations</t>
  </si>
  <si>
    <t>https://help.surveymonkey.com/en/surveymonkey/integrations/surveymonkey-salesforce-app</t>
  </si>
  <si>
    <t>salesforce app;push to salesforce;trigger survey</t>
  </si>
  <si>
    <t>how to export responses to a google sheet</t>
  </si>
  <si>
    <t>https://help.surveymonkey.com/en/surveymonkey/integrations/sheets-automation</t>
  </si>
  <si>
    <t>sync to sheets;google sheets;auto export</t>
  </si>
  <si>
    <t>https://help.surveymonkey.com/en/surveymonkey/integrations/zapier</t>
  </si>
  <si>
    <t>zapier;automate workflow;zap</t>
  </si>
  <si>
    <t>https://help.surveymonkey.com/en/surveymonkey/integrations/microsoft-teams-integration</t>
  </si>
  <si>
    <t>teams app;teams survey;teams notifications</t>
  </si>
  <si>
    <t>https://help.surveymonkey.com/en/surveymonkey/integrations/surveymonkey-api</t>
  </si>
  <si>
    <t>developer api;rest api;webhooks</t>
  </si>
  <si>
    <t>https://help.surveymonkey.com/en/surveymonkey/integrations/salesforce-nps</t>
  </si>
  <si>
    <t>nps in salesforce;promoters detractors;lightning reports</t>
  </si>
  <si>
    <t>27</t>
  </si>
  <si>
    <t>28</t>
  </si>
  <si>
    <t>https://help.surveymonkey.com/en/surveymonkey/create/question-bank</t>
  </si>
  <si>
    <t>sample questions;expert templates;bank questions</t>
  </si>
  <si>
    <t>29</t>
  </si>
  <si>
    <t>https://help.surveymonkey.com/en/surveymonkey/create/question-types</t>
  </si>
  <si>
    <t>multiple choice;checkboxes;dropdown</t>
  </si>
  <si>
    <t>30</t>
  </si>
  <si>
    <t>https://help.surveymonkey.com/en/surveymonkey/create/adding-editing-questions</t>
  </si>
  <si>
    <t>31</t>
  </si>
  <si>
    <t>https://help.surveymonkey.com/en/surveymonkey/create/changing-the-survey-title</t>
  </si>
  <si>
    <t>edit survey name;rename survey;title edit</t>
  </si>
  <si>
    <t>32</t>
  </si>
  <si>
    <t>remove question;delete field;drop item</t>
  </si>
  <si>
    <t>33</t>
  </si>
  <si>
    <t>https://help.surveymonkey.com/en/surveymonkey/create/consent-or-privacy-notice</t>
  </si>
  <si>
    <t>privacy notice;consent checkbox;research consent</t>
  </si>
  <si>
    <t>34</t>
  </si>
  <si>
    <t>https://help.surveymonkey.com/en/surveymonkey/create/accessibility</t>
  </si>
  <si>
    <t>screen reader;508 compliance;wcag</t>
  </si>
  <si>
    <t>35</t>
  </si>
  <si>
    <t>https://help.surveymonkey.com/en/surveymonkey/create/inclusive-language</t>
  </si>
  <si>
    <t>inclusive wording;avoid bias;accessible text</t>
  </si>
  <si>
    <t>36</t>
  </si>
  <si>
    <t>37</t>
  </si>
  <si>
    <t>https://help.surveymonkey.com/en/surveymonkey/create/themes</t>
  </si>
  <si>
    <t>change theme;color font;branding;typography</t>
  </si>
  <si>
    <t>38</t>
  </si>
  <si>
    <t>39</t>
  </si>
  <si>
    <t>40</t>
  </si>
  <si>
    <t>add page description;page header;intro text</t>
  </si>
  <si>
    <t>44</t>
  </si>
  <si>
    <t>45</t>
  </si>
  <si>
    <t>how to tracking respondents</t>
  </si>
  <si>
    <t>https://help.surveymonkey.com/en/surveymonkey/send/tracking-respondents</t>
  </si>
  <si>
    <t>identify respondents;track who responded;non anonymous</t>
  </si>
  <si>
    <t>46</t>
  </si>
  <si>
    <t>https://help.surveymonkey.com/en/surveymonkey/send/embedding-questions</t>
  </si>
  <si>
    <t>in-email question;email capture;one click answer</t>
  </si>
  <si>
    <t>47</t>
  </si>
  <si>
    <t>48</t>
  </si>
  <si>
    <t>https://help.surveymonkey.com/en/surveymonkey/send/recurring-surveys</t>
  </si>
  <si>
    <t>automate link;repeat survey;scheduled link</t>
  </si>
  <si>
    <t>49</t>
  </si>
  <si>
    <t>https://help.surveymonkey.com/en/surveymonkey/send/broken-survey-link</t>
  </si>
  <si>
    <t>link broken;cant open survey;already took survey</t>
  </si>
  <si>
    <t>55</t>
  </si>
  <si>
    <t>https://help.surveymonkey.com/en/surveymonkey/create/</t>
  </si>
  <si>
    <t>Designing Your Survey</t>
  </si>
  <si>
    <t>Applying Logic</t>
  </si>
  <si>
    <t>https://help.surveymonkey.com/en/surveymonkey/create/build-with-ai/</t>
  </si>
  <si>
    <t>https://help.surveymonkey.com/en/surveymonkey/create/creating-a-survey/</t>
  </si>
  <si>
    <t>Adding Text, Images &amp; Videos</t>
  </si>
  <si>
    <t>https://help.surveymonkey.com/en/surveymonkey/analyze/troubleshooting-exports/</t>
  </si>
  <si>
    <t>https://help.surveymonkey.com/en/surveymonkey/create/skip-logic/</t>
  </si>
  <si>
    <t>https://help.surveymonkey.com/en/surveymonkey/send/tracking-respondents/</t>
  </si>
  <si>
    <t>https://help.surveymonkey.com/en/surveymonkey/integrations/salesforce-link-encryption/</t>
  </si>
  <si>
    <t>how to use custom variables</t>
  </si>
  <si>
    <t>https://help.surveymonkey.com/en/surveymonkey/send/collector-options/</t>
  </si>
  <si>
    <t>how to create a web link for your survey</t>
  </si>
  <si>
    <t>https://help.surveymonkey.com/en/surveymonkey/create/copy-paste-questions/</t>
  </si>
  <si>
    <t>Tracking &amp; Anonymity</t>
  </si>
  <si>
    <t>Collecting Responses</t>
  </si>
  <si>
    <t>Sharing a Link to a Survey</t>
  </si>
  <si>
    <t>Email Lists &amp; Contact Info</t>
  </si>
  <si>
    <t xml:space="preserve">Email Lists &amp; Contact Info </t>
  </si>
  <si>
    <t>how to send email lists with contact info</t>
  </si>
  <si>
    <t>https://help.surveymonkey.com/en/surveymonkey/send/importing-email-lists/</t>
  </si>
  <si>
    <t>how to More Ways to Send</t>
  </si>
  <si>
    <t>More Ways to Send</t>
  </si>
  <si>
    <t>https://help.surveymonkey.com/en/surveymonkey/integrations/hootsuite-integration/</t>
  </si>
  <si>
    <t xml:space="preserve">Collecting Responses </t>
  </si>
  <si>
    <t>how to send my survey</t>
  </si>
  <si>
    <t>https://help.surveymonkey.com/en/surveymonkey/send/sending-your-survey/</t>
  </si>
  <si>
    <t>https://help.surveymonkey.com/en/surveymonkey/send/</t>
  </si>
  <si>
    <t>how to send email invitations</t>
  </si>
  <si>
    <t>https://help.surveymonkey.com/en/surveymonkey/send/email-send-limits/</t>
  </si>
  <si>
    <t>https://help.surveymonkey.com/en/surveymonkey/send/email-invitation-collector/</t>
  </si>
  <si>
    <t>how to add contacts to email lists</t>
  </si>
  <si>
    <t>https://help.surveymonkey.com/en/surveymonkey/send/custom-data/</t>
  </si>
  <si>
    <t>how to export survey results</t>
  </si>
  <si>
    <t>Exporting Results</t>
  </si>
  <si>
    <t>https://help.surveymonkey.com/en/surveymonkey/analyze/exporting-charts/</t>
  </si>
  <si>
    <t>Understanding Your Results</t>
  </si>
  <si>
    <t>https://help.surveymonkey.com/en/surveymonkey/manage/deleting-responses/</t>
  </si>
  <si>
    <t>where is one response</t>
  </si>
  <si>
    <t>https://help.surveymonkey.com/en/surveymonkey/analyze/analyzing-results/</t>
  </si>
  <si>
    <t>Charts &amp; Data Tables</t>
  </si>
  <si>
    <t>https://help.surveymonkey.com/en/surveymonkey/analyze/compare-rules/</t>
  </si>
  <si>
    <t>https://help.surveymonkey.com/en/surveymonkey/analyze/analyze-with-ai/</t>
  </si>
  <si>
    <t>how to filter results</t>
  </si>
  <si>
    <t>Filters &amp; Views</t>
  </si>
  <si>
    <t>how to compare two survey results</t>
  </si>
  <si>
    <t>https://help.surveymonkey.com/en/surveymonkey/manage/merging-surveys/</t>
  </si>
  <si>
    <t>how to make results dashboards</t>
  </si>
  <si>
    <t>Sharing Results</t>
  </si>
  <si>
    <t>how to  export csv</t>
  </si>
  <si>
    <t>https://help.surveymonkey.com/en/surveymonkey/analyze/exports/</t>
  </si>
  <si>
    <t>how to sign up or upgrade</t>
  </si>
  <si>
    <t>Signing Up &amp; Plans</t>
  </si>
  <si>
    <t>https://help.surveymonkey.com/en/surveymonkey/teams/single-sign-on/</t>
  </si>
  <si>
    <t>https://help.surveymonkey.com/en/surveymonkey/billing/discounts/</t>
  </si>
  <si>
    <t>Subscription &amp; Charges</t>
  </si>
  <si>
    <t>how do I turn off autorenew?</t>
  </si>
  <si>
    <t>can i downgrade to a free plan</t>
  </si>
  <si>
    <t>Signing Up &amp; Plans/ Subscription &amp; Charges</t>
  </si>
  <si>
    <t>https://help.surveymonkey.com/en/surveymonkey/billing/account-cancelation/</t>
  </si>
  <si>
    <t>how to check my payment history</t>
  </si>
  <si>
    <t>https://help.surveymonkey.com/en/surveymonkey/billing/payment-contact-info/</t>
  </si>
  <si>
    <t>Invoices &amp; Receipts</t>
  </si>
  <si>
    <t>how to avail monthly payment option</t>
  </si>
  <si>
    <t>Signing Up &amp; Plans/ Monthly Payment Option</t>
  </si>
  <si>
    <t>https://help.surveymonkey.com/en/surveymonkey/billing/billing-details/</t>
  </si>
  <si>
    <t>what are taxes on my purchases</t>
  </si>
  <si>
    <t>https://help.surveymonkey.com/en/surveymonkey/billing/</t>
  </si>
  <si>
    <t>tax invoice;vat;gst;qst;pst;hst</t>
  </si>
  <si>
    <t>video ab test; image ab test; question text ab test; text ab test</t>
  </si>
  <si>
    <t>group pages of your survey into blocks;add logic to rotate;flip;or the blocks;add logic to the page</t>
  </si>
  <si>
    <t>group pages of your survey into blocks;creating rules for routing users in a survey;how to change which questions are seen conditionally</t>
  </si>
  <si>
    <t>how to send surveys to phone</t>
  </si>
  <si>
    <t>Enterprise Features</t>
  </si>
  <si>
    <t>https://help.surveymonkey.com/en/surveymonkey/send/text-message/</t>
  </si>
  <si>
    <t>Collaborating With Your Team</t>
  </si>
  <si>
    <t>https://help.surveymonkey.com/en/surveymonkey/teams/</t>
  </si>
  <si>
    <t>how to manage team seats, roles, and permissions</t>
  </si>
  <si>
    <t>Managing Teams</t>
  </si>
  <si>
    <t>https://help.surveymonkey.com/en/surveymonkey/teams/custom-roles/</t>
  </si>
  <si>
    <t>how to manage brand assets in the library</t>
  </si>
  <si>
    <t>https://help.surveymonkey.com/en/surveymonkey/teams</t>
  </si>
  <si>
    <t>https://help.surveymonkey.com/en/surveymonkey/teams/enterprise-seats/</t>
  </si>
  <si>
    <t>how to build workgroups</t>
  </si>
  <si>
    <t>https://help.surveymonkey.com/en/surveymonkey/teams/working-with-others/</t>
  </si>
  <si>
    <t>how to make divisions</t>
  </si>
  <si>
    <t>how to change seats on your team</t>
  </si>
  <si>
    <t>https://help.surveymonkey.com/en/surveymonkey/teams/manage-enterprise/</t>
  </si>
  <si>
    <t>how to make user report</t>
  </si>
  <si>
    <t>forgot login details</t>
  </si>
  <si>
    <t>Login &amp; Password</t>
  </si>
  <si>
    <t>https://help.surveymonkey.com/en/surveymonkey/account/saved-devices/</t>
  </si>
  <si>
    <t>how to log in to your account</t>
  </si>
  <si>
    <t>cant log in;sign in;login help, sso</t>
  </si>
  <si>
    <t>how to reset password</t>
  </si>
  <si>
    <t>device registration</t>
  </si>
  <si>
    <t>https://help.surveymonkey.com/en/surveymonkey/account/two-factor-authentication/</t>
  </si>
  <si>
    <t>how to view my survey monkey data</t>
  </si>
  <si>
    <t>https://help.surveymonkey.com/en/apply/faqs/apply-data-privacy/</t>
  </si>
  <si>
    <t>Privacy &amp; Data</t>
  </si>
  <si>
    <t>how to add my privacy notice</t>
  </si>
  <si>
    <t>https://help.surveymonkey.com/en/surveymonkey/create/consent-statements-privacy-notices/</t>
  </si>
  <si>
    <t>https://help.surveymonkey.com/en/surveymonkey/policy/data-collection-privacy/</t>
  </si>
  <si>
    <t>https://help.surveymonkey.com/en/surveymonkey/policy/privacy-rights/</t>
  </si>
  <si>
    <t>legal center pages</t>
  </si>
  <si>
    <t>https://help.surveymonkey.com/en/surveymonkey/policy</t>
  </si>
  <si>
    <t>how are my survey responses anonymous and secure?</t>
  </si>
  <si>
    <t>irb guidelines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</si>
  <si>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</si>
  <si>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</si>
  <si>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</si>
  <si>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</si>
  <si>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</si>
  <si>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</si>
  <si>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</si>
  <si>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</si>
  <si>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</si>
  <si>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</si>
  <si>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</si>
  <si>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</si>
  <si>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</si>
  <si>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what are the design guidelines to audience project</t>
  </si>
  <si>
    <t>https://help.surveymonkey.com/en/surveymonkey/solutions/audience-guidelines/</t>
  </si>
  <si>
    <t>Solutions</t>
  </si>
  <si>
    <t>SurveyMonkey Audience Panel</t>
  </si>
  <si>
    <t>https://help.surveymonkey.com/en/surveymonkey/solutions/audience-for-academics/</t>
  </si>
  <si>
    <t>audience;project;surveymonkey;guidelines;academic</t>
  </si>
  <si>
    <t>how to make custom screening questions</t>
  </si>
  <si>
    <t>https://help.surveymonkey.com/en/surveymonkey/solutions/audience-additional-settings/</t>
  </si>
  <si>
    <t>https://help.surveymonkey.com/en/surveymonkey/send/surveymonkey-audience/</t>
  </si>
  <si>
    <t>audience projecy;additional settings; schedule for later, custom screening</t>
  </si>
  <si>
    <t>how to use surveymonkey for salesforce</t>
  </si>
  <si>
    <t>https://help.surveymonkey.com/en/surveymonkey/integrations/salesforce-managed-package/</t>
  </si>
  <si>
    <t>Automate Tasks</t>
  </si>
  <si>
    <t>https://help.surveymonkey.com/en/surveymonkey/integrations/google-add-ons/</t>
  </si>
  <si>
    <t>how to use zapier with surveymonkey</t>
  </si>
  <si>
    <t>https://help.surveymonkey.com/en/surveymonkey/site/support-hours/</t>
  </si>
  <si>
    <t xml:space="preserve">how to integrate microsoft teams </t>
  </si>
  <si>
    <t>https://help.surveymonkey.com/en/surveymonkey/integrations/ms-teams-automation/</t>
  </si>
  <si>
    <t>how to use surveymonkey api</t>
  </si>
  <si>
    <t>Automate Tasks/ Share Contacts &amp; Send Surveys</t>
  </si>
  <si>
    <t>Share Contacts &amp; Send Surveys</t>
  </si>
  <si>
    <t>Automate Tasks/ Sync &amp; Analyze Data</t>
  </si>
  <si>
    <t>measuring net promoter score</t>
  </si>
  <si>
    <t>https://help.surveymonkey.com/en/surveymonkey/create/net-promoter-score/</t>
  </si>
  <si>
    <t>how to use question bank</t>
  </si>
  <si>
    <t>how to edit questions</t>
  </si>
  <si>
    <t>how to change the survey title</t>
  </si>
  <si>
    <t>https://help.surveymonkey.com/en/surveymonkey/teams/custom-question-bank/</t>
  </si>
  <si>
    <t>question types</t>
  </si>
  <si>
    <t>https://help.surveymonkey.com/en/surveymonkey/create/editing-questions/</t>
  </si>
  <si>
    <t>https://help.surveymonkey.com/en/surveymonkey/create/copying-moving-questions/</t>
  </si>
  <si>
    <t>insert question;edit question;new question;move question</t>
  </si>
  <si>
    <t>https://help.surveymonkey.com/en/surveymonkey/create</t>
  </si>
  <si>
    <t>how to delete a question</t>
  </si>
  <si>
    <t>how to add a consent statement</t>
  </si>
  <si>
    <t>check accessibility when using surveymonkey</t>
  </si>
  <si>
    <t>how to use inclusive language</t>
  </si>
  <si>
    <t>how to use themes to style surveys</t>
  </si>
  <si>
    <t>page titles &amp; page descriptions</t>
  </si>
  <si>
    <t>how to embedding questions in email lists &amp; contact info</t>
  </si>
  <si>
    <t>how to use recurring web link surveys</t>
  </si>
  <si>
    <t>my survey link doesn't work</t>
  </si>
  <si>
    <t>https://help.surveymonkey.com/en/surveymonkey/create/deleting-questions/</t>
  </si>
  <si>
    <t>Themes &amp; Format Options</t>
  </si>
  <si>
    <t>Using Survey Pages</t>
  </si>
  <si>
    <t>https://help.surveymonkey.com/en/surveymonkey/create/page-question-titles/</t>
  </si>
  <si>
    <t>Sending by Email</t>
  </si>
  <si>
    <t>https://help.surveymonkey.com/en/surveymonkey/send</t>
  </si>
  <si>
    <t>https://help.surveymonkey.com/en/surveymonkey/send/custom-survey-links/</t>
  </si>
  <si>
    <t>https://help.surveymonkey.com/en/surveymonkey/send/survey-completion-issue/</t>
  </si>
  <si>
    <t>how to change the font in my survey</t>
  </si>
  <si>
    <t>what is a collector</t>
  </si>
  <si>
    <t>how to upgrade my account</t>
  </si>
  <si>
    <t>how do i analyze my responses with ai</t>
  </si>
  <si>
    <t>how can I delete a survey</t>
  </si>
  <si>
    <t>Managing &amp; Sharing Surveys</t>
  </si>
  <si>
    <t>Organizing &amp; Copying</t>
  </si>
  <si>
    <t>https://help.surveymonkey.com/en/surveymonkey/manage/survey-deletion/</t>
  </si>
  <si>
    <t>https://help.surveymonkey.com/en/surveymonkey/manage/managing-surveys/</t>
  </si>
  <si>
    <t>delete my survey;manage my survey</t>
  </si>
  <si>
    <t>privacy policy</t>
  </si>
  <si>
    <t>20</t>
  </si>
  <si>
    <t>21</t>
  </si>
  <si>
    <t>51</t>
  </si>
  <si>
    <t>52</t>
  </si>
  <si>
    <t>53</t>
  </si>
  <si>
    <t>76</t>
  </si>
  <si>
    <t>77</t>
  </si>
  <si>
    <t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</si>
</sst>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11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9" fontId="0" fillId="0" borderId="1" xfId="0" applyNumberFormat="1" applyBorder="1"/>
    <xf numFmtId="0" fontId="0" fillId="0" borderId="1" xfId="0" applyBorder="1"/>
    <xf numFmtId="0" fontId="2" fillId="0" borderId="1" xfId="1" applyBorder="1" applyAlignment="1" applyProtection="1"/>
    <xf numFmtId="2" fontId="0" fillId="0" borderId="1" xfId="0" applyNumberFormat="1" applyBorder="1"/>
    <xf numFmtId="0" fontId="2" fillId="0" borderId="1" xfId="1" applyBorder="1">
      <alignment vertical="top"/>
      <protection locked="0"/>
    </xf>
    <xf numFmtId="0" fontId="2" fillId="0" borderId="0" xfId="1">
      <alignment vertical="top"/>
      <protection locked="0"/>
    </xf>
    <xf numFmtId="0" fontId="0" fillId="0" borderId="1" xfId="0" applyBorder="1" applyAlignment="1">
      <alignment wrapText="1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elp.surveymonkey.com/en/surveymonkey/analyze/csv-exports" TargetMode="External"/><Relationship Id="rId21" Type="http://schemas.openxmlformats.org/officeDocument/2006/relationships/hyperlink" Target="https://help.surveymonkey.com/en/surveymonkey/analyze/crosstabs" TargetMode="External"/><Relationship Id="rId42" Type="http://schemas.openxmlformats.org/officeDocument/2006/relationships/hyperlink" Target="https://help.surveymonkey.com/en/surveymonkey/teams/divisions" TargetMode="External"/><Relationship Id="rId47" Type="http://schemas.openxmlformats.org/officeDocument/2006/relationships/hyperlink" Target="https://help.surveymonkey.com/en/surveymonkey/account/password-reset" TargetMode="External"/><Relationship Id="rId63" Type="http://schemas.openxmlformats.org/officeDocument/2006/relationships/hyperlink" Target="https://help.surveymonkey.com/en/surveymonkey/create/deleting-questions/" TargetMode="External"/><Relationship Id="rId68" Type="http://schemas.openxmlformats.org/officeDocument/2006/relationships/hyperlink" Target="https://help.surveymonkey.com/en/surveymonkey/create/page-question-titles/" TargetMode="External"/><Relationship Id="rId84" Type="http://schemas.openxmlformats.org/officeDocument/2006/relationships/hyperlink" Target="https://help.surveymonkey.com/en/surveymonkey/create" TargetMode="External"/><Relationship Id="rId16" Type="http://schemas.openxmlformats.org/officeDocument/2006/relationships/hyperlink" Target="https://help.surveymonkey.com/en/surveymonkey/send/sending-your-survey" TargetMode="External"/><Relationship Id="rId11" Type="http://schemas.openxmlformats.org/officeDocument/2006/relationships/hyperlink" Target="https://help.surveymonkey.com/en/surveymonkey/send/custom-variables" TargetMode="External"/><Relationship Id="rId32" Type="http://schemas.openxmlformats.org/officeDocument/2006/relationships/hyperlink" Target="https://help.surveymonkey.com/en/surveymonkey/billing/billing-details" TargetMode="External"/><Relationship Id="rId37" Type="http://schemas.openxmlformats.org/officeDocument/2006/relationships/hyperlink" Target="https://help.surveymonkey.com/en/surveymonkey/teams/library" TargetMode="External"/><Relationship Id="rId53" Type="http://schemas.openxmlformats.org/officeDocument/2006/relationships/hyperlink" Target="https://help.surveymonkey.com/en/surveymonkey/integrations/surveymonkey-salesforce-app" TargetMode="External"/><Relationship Id="rId58" Type="http://schemas.openxmlformats.org/officeDocument/2006/relationships/hyperlink" Target="https://help.surveymonkey.com/en/surveymonkey/integrations/salesforce-nps" TargetMode="External"/><Relationship Id="rId74" Type="http://schemas.openxmlformats.org/officeDocument/2006/relationships/hyperlink" Target="https://help.surveymonkey.com/en/surveymonkey/send/email-invitations" TargetMode="External"/><Relationship Id="rId79" Type="http://schemas.openxmlformats.org/officeDocument/2006/relationships/hyperlink" Target="https://help.surveymonkey.com/en/surveymonkey/create" TargetMode="External"/><Relationship Id="rId5" Type="http://schemas.openxmlformats.org/officeDocument/2006/relationships/hyperlink" Target="https://help.surveymonkey.com/en/surveymonkey/create/ab-tests" TargetMode="External"/><Relationship Id="rId19" Type="http://schemas.openxmlformats.org/officeDocument/2006/relationships/hyperlink" Target="https://help.surveymonkey.com/en/surveymonkey/analyze/individual-responses" TargetMode="External"/><Relationship Id="rId14" Type="http://schemas.openxmlformats.org/officeDocument/2006/relationships/hyperlink" Target="https://help.surveymonkey.com/en/surveymonkey/send/email-send-limits" TargetMode="External"/><Relationship Id="rId22" Type="http://schemas.openxmlformats.org/officeDocument/2006/relationships/hyperlink" Target="https://help.surveymonkey.com/en/surveymonkey/analyze/analyzing-results" TargetMode="External"/><Relationship Id="rId27" Type="http://schemas.openxmlformats.org/officeDocument/2006/relationships/hyperlink" Target="https://help.surveymonkey.com/en/surveymonkey/billing/auto-renew" TargetMode="External"/><Relationship Id="rId30" Type="http://schemas.openxmlformats.org/officeDocument/2006/relationships/hyperlink" Target="https://help.surveymonkey.com/en/surveymonkey/billing/automatic-renewals" TargetMode="External"/><Relationship Id="rId35" Type="http://schemas.openxmlformats.org/officeDocument/2006/relationships/hyperlink" Target="https://help.surveymonkey.com/en/surveymonkey/billing/taxes" TargetMode="External"/><Relationship Id="rId43" Type="http://schemas.openxmlformats.org/officeDocument/2006/relationships/hyperlink" Target="https://help.surveymonkey.com/en/surveymonkey/teams/manage-seats" TargetMode="External"/><Relationship Id="rId48" Type="http://schemas.openxmlformats.org/officeDocument/2006/relationships/hyperlink" Target="https://help.surveymonkey.com/en/surveymonkey/account/saved-devices" TargetMode="External"/><Relationship Id="rId56" Type="http://schemas.openxmlformats.org/officeDocument/2006/relationships/hyperlink" Target="https://help.surveymonkey.com/en/surveymonkey/integrations/microsoft-teams-integration" TargetMode="External"/><Relationship Id="rId64" Type="http://schemas.openxmlformats.org/officeDocument/2006/relationships/hyperlink" Target="https://help.surveymonkey.com/en/surveymonkey/create/consent-or-privacy-notice" TargetMode="External"/><Relationship Id="rId69" Type="http://schemas.openxmlformats.org/officeDocument/2006/relationships/hyperlink" Target="https://help.surveymonkey.com/en/surveymonkey/send/tracking-respondents" TargetMode="External"/><Relationship Id="rId77" Type="http://schemas.openxmlformats.org/officeDocument/2006/relationships/hyperlink" Target="https://help.surveymonkey.com/en/surveymonkey/teams" TargetMode="External"/><Relationship Id="rId8" Type="http://schemas.openxmlformats.org/officeDocument/2006/relationships/hyperlink" Target="https://help.surveymonkey.com/en/surveymonkey/create/creating-a-survey" TargetMode="External"/><Relationship Id="rId51" Type="http://schemas.openxmlformats.org/officeDocument/2006/relationships/hyperlink" Target="https://help.surveymonkey.com/en/surveymonkey/policy/are-responses-anonymous" TargetMode="External"/><Relationship Id="rId72" Type="http://schemas.openxmlformats.org/officeDocument/2006/relationships/hyperlink" Target="https://help.surveymonkey.com/en/surveymonkey/send/broken-survey-link" TargetMode="External"/><Relationship Id="rId80" Type="http://schemas.openxmlformats.org/officeDocument/2006/relationships/hyperlink" Target="https://help.surveymonkey.com/en/surveymonkey/create" TargetMode="External"/><Relationship Id="rId85" Type="http://schemas.openxmlformats.org/officeDocument/2006/relationships/hyperlink" Target="https://help.surveymonkey.com/en/surveymonkey/billing/upgrading" TargetMode="External"/><Relationship Id="rId3" Type="http://schemas.openxmlformats.org/officeDocument/2006/relationships/hyperlink" Target="https://help.surveymonkey.com/en/surveymonkey/create/block-randomization" TargetMode="External"/><Relationship Id="rId12" Type="http://schemas.openxmlformats.org/officeDocument/2006/relationships/hyperlink" Target="https://help.surveymonkey.com/en/surveymonkey/send/sending-your-survey" TargetMode="External"/><Relationship Id="rId17" Type="http://schemas.openxmlformats.org/officeDocument/2006/relationships/hyperlink" Target="https://help.surveymonkey.com/en/surveymonkey/send/importing-email-lists" TargetMode="External"/><Relationship Id="rId25" Type="http://schemas.openxmlformats.org/officeDocument/2006/relationships/hyperlink" Target="https://help.surveymonkey.com/en/surveymonkey/analyze/results-dashboards" TargetMode="External"/><Relationship Id="rId33" Type="http://schemas.openxmlformats.org/officeDocument/2006/relationships/hyperlink" Target="https://help.surveymonkey.com/en/surveymonkey/billing/automatic-renewals" TargetMode="External"/><Relationship Id="rId38" Type="http://schemas.openxmlformats.org/officeDocument/2006/relationships/hyperlink" Target="https://help.surveymonkey.com/en/surveymonkey/teams/team-roles-permissions" TargetMode="External"/><Relationship Id="rId46" Type="http://schemas.openxmlformats.org/officeDocument/2006/relationships/hyperlink" Target="https://help.surveymonkey.com/en/surveymonkey/account/logging-in" TargetMode="External"/><Relationship Id="rId59" Type="http://schemas.openxmlformats.org/officeDocument/2006/relationships/hyperlink" Target="https://help.surveymonkey.com/en/surveymonkey/create/question-bank" TargetMode="External"/><Relationship Id="rId67" Type="http://schemas.openxmlformats.org/officeDocument/2006/relationships/hyperlink" Target="https://help.surveymonkey.com/en/surveymonkey/create/themes" TargetMode="External"/><Relationship Id="rId20" Type="http://schemas.openxmlformats.org/officeDocument/2006/relationships/hyperlink" Target="https://help.surveymonkey.com/en/surveymonkey/analyze/analyze-with-ai" TargetMode="External"/><Relationship Id="rId41" Type="http://schemas.openxmlformats.org/officeDocument/2006/relationships/hyperlink" Target="https://help.surveymonkey.com/en/surveymonkey/teams/workgroups" TargetMode="External"/><Relationship Id="rId54" Type="http://schemas.openxmlformats.org/officeDocument/2006/relationships/hyperlink" Target="https://help.surveymonkey.com/en/surveymonkey/integrations/sheets-automation" TargetMode="External"/><Relationship Id="rId62" Type="http://schemas.openxmlformats.org/officeDocument/2006/relationships/hyperlink" Target="https://help.surveymonkey.com/en/surveymonkey/create/changing-the-survey-title" TargetMode="External"/><Relationship Id="rId70" Type="http://schemas.openxmlformats.org/officeDocument/2006/relationships/hyperlink" Target="https://help.surveymonkey.com/en/surveymonkey/send/embedding-questions" TargetMode="External"/><Relationship Id="rId75" Type="http://schemas.openxmlformats.org/officeDocument/2006/relationships/hyperlink" Target="https://help.surveymonkey.com/en/surveymonkey/billing/auto-renew" TargetMode="External"/><Relationship Id="rId83" Type="http://schemas.openxmlformats.org/officeDocument/2006/relationships/hyperlink" Target="https://help.surveymonkey.com/en/surveymonkey/create" TargetMode="External"/><Relationship Id="rId1" Type="http://schemas.openxmlformats.org/officeDocument/2006/relationships/hyperlink" Target="https://help.surveymonkey.com/en/surveymonkey/create/forms" TargetMode="External"/><Relationship Id="rId6" Type="http://schemas.openxmlformats.org/officeDocument/2006/relationships/hyperlink" Target="https://help.surveymonkey.com/en/surveymonkey/create/formatting-text" TargetMode="External"/><Relationship Id="rId15" Type="http://schemas.openxmlformats.org/officeDocument/2006/relationships/hyperlink" Target="https://help.surveymonkey.com/en/surveymonkey/send/social-media-collector" TargetMode="External"/><Relationship Id="rId23" Type="http://schemas.openxmlformats.org/officeDocument/2006/relationships/hyperlink" Target="https://help.surveymonkey.com/en/surveymonkey/analyze/filter-rules" TargetMode="External"/><Relationship Id="rId28" Type="http://schemas.openxmlformats.org/officeDocument/2006/relationships/hyperlink" Target="https://help.surveymonkey.com/en/surveymonkey/billing/automatic-renewals" TargetMode="External"/><Relationship Id="rId36" Type="http://schemas.openxmlformats.org/officeDocument/2006/relationships/hyperlink" Target="https://help.surveymonkey.com/en/surveymonkey/teams/sms-provisioning" TargetMode="External"/><Relationship Id="rId49" Type="http://schemas.openxmlformats.org/officeDocument/2006/relationships/hyperlink" Target="https://help.surveymonkey.com/en/surveymonkey/policy/surveymonkey-data" TargetMode="External"/><Relationship Id="rId57" Type="http://schemas.openxmlformats.org/officeDocument/2006/relationships/hyperlink" Target="https://help.surveymonkey.com/en/surveymonkey/integrations/surveymonkey-api" TargetMode="External"/><Relationship Id="rId10" Type="http://schemas.openxmlformats.org/officeDocument/2006/relationships/hyperlink" Target="https://help.surveymonkey.com/en/surveymonkey/send/custom-variables" TargetMode="External"/><Relationship Id="rId31" Type="http://schemas.openxmlformats.org/officeDocument/2006/relationships/hyperlink" Target="https://help.surveymonkey.com/en/surveymonkey/billing/downgrading" TargetMode="External"/><Relationship Id="rId44" Type="http://schemas.openxmlformats.org/officeDocument/2006/relationships/hyperlink" Target="https://help.surveymonkey.com/en/surveymonkey/teams/user-report" TargetMode="External"/><Relationship Id="rId52" Type="http://schemas.openxmlformats.org/officeDocument/2006/relationships/hyperlink" Target="https://help.surveymonkey.com/en/surveymonkey/policy/irb-guidelines" TargetMode="External"/><Relationship Id="rId60" Type="http://schemas.openxmlformats.org/officeDocument/2006/relationships/hyperlink" Target="https://help.surveymonkey.com/en/surveymonkey/create/question-types" TargetMode="External"/><Relationship Id="rId65" Type="http://schemas.openxmlformats.org/officeDocument/2006/relationships/hyperlink" Target="https://help.surveymonkey.com/en/surveymonkey/create/accessibility" TargetMode="External"/><Relationship Id="rId73" Type="http://schemas.openxmlformats.org/officeDocument/2006/relationships/hyperlink" Target="https://help.surveymonkey.com/en/surveymonkey/analyze/troubleshooting-exports/" TargetMode="External"/><Relationship Id="rId78" Type="http://schemas.openxmlformats.org/officeDocument/2006/relationships/hyperlink" Target="https://help.surveymonkey.com/en/surveymonkey/create/consent-statements-privacy-notices/" TargetMode="External"/><Relationship Id="rId81" Type="http://schemas.openxmlformats.org/officeDocument/2006/relationships/hyperlink" Target="https://help.surveymonkey.com/en/surveymonkey/create" TargetMode="External"/><Relationship Id="rId86" Type="http://schemas.openxmlformats.org/officeDocument/2006/relationships/hyperlink" Target="https://help.surveymonkey.com/en/surveymonkey/billing/upgrading" TargetMode="External"/><Relationship Id="rId4" Type="http://schemas.openxmlformats.org/officeDocument/2006/relationships/hyperlink" Target="https://help.surveymonkey.com/en/surveymonkey/create/creating-a-survey/" TargetMode="External"/><Relationship Id="rId9" Type="http://schemas.openxmlformats.org/officeDocument/2006/relationships/hyperlink" Target="https://help.surveymonkey.com/en/surveymonkey/create/build-with-ai" TargetMode="External"/><Relationship Id="rId13" Type="http://schemas.openxmlformats.org/officeDocument/2006/relationships/hyperlink" Target="https://help.surveymonkey.com/en/surveymonkey/send/web-link-collector" TargetMode="External"/><Relationship Id="rId18" Type="http://schemas.openxmlformats.org/officeDocument/2006/relationships/hyperlink" Target="https://help.surveymonkey.com/en/surveymonkey/analyze/exports" TargetMode="External"/><Relationship Id="rId39" Type="http://schemas.openxmlformats.org/officeDocument/2006/relationships/hyperlink" Target="https://help.surveymonkey.com/en/surveymonkey/teams/library" TargetMode="External"/><Relationship Id="rId34" Type="http://schemas.openxmlformats.org/officeDocument/2006/relationships/hyperlink" Target="https://help.surveymonkey.com/en/surveymonkey/billing/monthly-payment-option" TargetMode="External"/><Relationship Id="rId50" Type="http://schemas.openxmlformats.org/officeDocument/2006/relationships/hyperlink" Target="https://help.surveymonkey.com/en/surveymonkey/policy/legal-center-pages" TargetMode="External"/><Relationship Id="rId55" Type="http://schemas.openxmlformats.org/officeDocument/2006/relationships/hyperlink" Target="https://help.surveymonkey.com/en/surveymonkey/integrations/zapier" TargetMode="External"/><Relationship Id="rId76" Type="http://schemas.openxmlformats.org/officeDocument/2006/relationships/hyperlink" Target="https://help.surveymonkey.com/en/surveymonkey/teams/enterprise-seats/" TargetMode="External"/><Relationship Id="rId7" Type="http://schemas.openxmlformats.org/officeDocument/2006/relationships/hyperlink" Target="https://help.surveymonkey.com/en/surveymonkey/create/question-skip-logic" TargetMode="External"/><Relationship Id="rId71" Type="http://schemas.openxmlformats.org/officeDocument/2006/relationships/hyperlink" Target="https://help.surveymonkey.com/en/surveymonkey/send/recurring-surveys" TargetMode="External"/><Relationship Id="rId2" Type="http://schemas.openxmlformats.org/officeDocument/2006/relationships/hyperlink" Target="https://help.surveymonkey.com/en/surveymonkey/create/advanced-branching" TargetMode="External"/><Relationship Id="rId29" Type="http://schemas.openxmlformats.org/officeDocument/2006/relationships/hyperlink" Target="https://help.surveymonkey.com/en/surveymonkey/billing/auto-renew" TargetMode="External"/><Relationship Id="rId24" Type="http://schemas.openxmlformats.org/officeDocument/2006/relationships/hyperlink" Target="https://help.surveymonkey.com/en/surveymonkey/analyze/compare-rules" TargetMode="External"/><Relationship Id="rId40" Type="http://schemas.openxmlformats.org/officeDocument/2006/relationships/hyperlink" Target="https://help.surveymonkey.com/en/surveymonkey/teams/custom-roles" TargetMode="External"/><Relationship Id="rId45" Type="http://schemas.openxmlformats.org/officeDocument/2006/relationships/hyperlink" Target="https://help.surveymonkey.com/en/surveymonkey/account/password-reset" TargetMode="External"/><Relationship Id="rId66" Type="http://schemas.openxmlformats.org/officeDocument/2006/relationships/hyperlink" Target="https://help.surveymonkey.com/en/surveymonkey/create/inclusive-language" TargetMode="External"/><Relationship Id="rId61" Type="http://schemas.openxmlformats.org/officeDocument/2006/relationships/hyperlink" Target="https://help.surveymonkey.com/en/surveymonkey/create/adding-editing-questions" TargetMode="External"/><Relationship Id="rId82" Type="http://schemas.openxmlformats.org/officeDocument/2006/relationships/hyperlink" Target="https://help.surveymonkey.com/en/surveymonkey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B1" zoomScale="120" zoomScaleNormal="120" workbookViewId="0">
      <selection activeCell="G1" sqref="G1:G1048576"/>
    </sheetView>
  </sheetViews>
  <sheetFormatPr baseColWidth="10" defaultColWidth="8.83203125" defaultRowHeight="15" x14ac:dyDescent="0.2"/>
  <cols>
    <col min="1" max="1" width="3.1640625" style="10" bestFit="1" customWidth="1"/>
    <col min="2" max="2" width="56.33203125" bestFit="1" customWidth="1"/>
    <col min="3" max="3" width="22.5" bestFit="1" customWidth="1"/>
    <col min="4" max="4" width="49" bestFit="1" customWidth="1"/>
    <col min="5" max="5" width="74" bestFit="1" customWidth="1"/>
    <col min="6" max="6" width="72" bestFit="1" customWidth="1"/>
    <col min="7" max="7" width="45.1640625" customWidth="1"/>
    <col min="8" max="8" width="16.1640625" bestFit="1" customWidth="1"/>
    <col min="9" max="10" width="11" bestFit="1" customWidth="1"/>
    <col min="11" max="11" width="12.1640625" bestFit="1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" customHeight="1" x14ac:dyDescent="0.2">
      <c r="A2" s="3">
        <v>1</v>
      </c>
      <c r="B2" s="4" t="s">
        <v>11</v>
      </c>
      <c r="C2" s="4" t="s">
        <v>12</v>
      </c>
      <c r="D2" s="4" t="s">
        <v>224</v>
      </c>
      <c r="E2" s="8" t="s">
        <v>13</v>
      </c>
      <c r="F2" s="4" t="s">
        <v>223</v>
      </c>
      <c r="G2" s="4" t="s">
        <v>14</v>
      </c>
      <c r="H2" s="4">
        <v>7</v>
      </c>
      <c r="I2" s="4">
        <f t="shared" ref="I2:I35" si="0">IF(H2="","",IF(H2&lt;=1,1,0))</f>
        <v>0</v>
      </c>
      <c r="J2" s="4">
        <f t="shared" ref="J2:J35" si="1">IF(H2="","",IF(H2&lt;=3,1,0))</f>
        <v>0</v>
      </c>
      <c r="K2" s="6">
        <f t="shared" ref="K2:K35" si="2">IF(H2="","",IF(H2&lt;=10,1/H2,0))</f>
        <v>0.14285714285714285</v>
      </c>
    </row>
    <row r="3" spans="1:11" ht="14" customHeight="1" x14ac:dyDescent="0.2">
      <c r="A3" s="3" t="s">
        <v>15</v>
      </c>
      <c r="B3" s="4" t="s">
        <v>398</v>
      </c>
      <c r="C3" s="4" t="s">
        <v>399</v>
      </c>
      <c r="D3" s="4" t="s">
        <v>400</v>
      </c>
      <c r="E3" s="5" t="s">
        <v>401</v>
      </c>
      <c r="F3" s="4" t="s">
        <v>402</v>
      </c>
      <c r="G3" s="4" t="s">
        <v>403</v>
      </c>
      <c r="H3" s="4">
        <v>8</v>
      </c>
      <c r="I3" s="4">
        <f t="shared" si="0"/>
        <v>0</v>
      </c>
      <c r="J3" s="4">
        <f t="shared" si="1"/>
        <v>0</v>
      </c>
      <c r="K3" s="6">
        <f t="shared" si="2"/>
        <v>0.125</v>
      </c>
    </row>
    <row r="4" spans="1:11" ht="14" customHeight="1" x14ac:dyDescent="0.2">
      <c r="A4" s="3" t="s">
        <v>121</v>
      </c>
      <c r="B4" s="4" t="s">
        <v>16</v>
      </c>
      <c r="C4" s="4" t="s">
        <v>12</v>
      </c>
      <c r="D4" s="4" t="s">
        <v>225</v>
      </c>
      <c r="E4" s="5" t="s">
        <v>17</v>
      </c>
      <c r="F4" s="4" t="s">
        <v>223</v>
      </c>
      <c r="G4" s="4" t="s">
        <v>294</v>
      </c>
      <c r="H4" s="4">
        <v>5</v>
      </c>
      <c r="I4" s="4">
        <f t="shared" si="0"/>
        <v>0</v>
      </c>
      <c r="J4" s="4">
        <f t="shared" si="1"/>
        <v>0</v>
      </c>
      <c r="K4" s="6">
        <f t="shared" si="2"/>
        <v>0.2</v>
      </c>
    </row>
    <row r="5" spans="1:11" ht="14" customHeight="1" x14ac:dyDescent="0.2">
      <c r="A5" s="3" t="s">
        <v>125</v>
      </c>
      <c r="B5" s="4" t="s">
        <v>19</v>
      </c>
      <c r="C5" s="4" t="s">
        <v>12</v>
      </c>
      <c r="D5" s="4" t="s">
        <v>225</v>
      </c>
      <c r="E5" s="5" t="s">
        <v>20</v>
      </c>
      <c r="F5" s="4" t="s">
        <v>223</v>
      </c>
      <c r="G5" s="4" t="s">
        <v>293</v>
      </c>
      <c r="H5" s="4">
        <v>19</v>
      </c>
      <c r="I5" s="4">
        <f t="shared" si="0"/>
        <v>0</v>
      </c>
      <c r="J5" s="4">
        <f t="shared" si="1"/>
        <v>0</v>
      </c>
      <c r="K5" s="6">
        <f t="shared" si="2"/>
        <v>0</v>
      </c>
    </row>
    <row r="6" spans="1:11" ht="14" customHeight="1" x14ac:dyDescent="0.2">
      <c r="A6" s="3" t="s">
        <v>18</v>
      </c>
      <c r="B6" s="4" t="s">
        <v>22</v>
      </c>
      <c r="C6" s="4" t="s">
        <v>12</v>
      </c>
      <c r="D6" s="4" t="s">
        <v>224</v>
      </c>
      <c r="E6" s="7" t="s">
        <v>227</v>
      </c>
      <c r="F6" s="4" t="s">
        <v>226</v>
      </c>
      <c r="G6" s="4" t="s">
        <v>14</v>
      </c>
      <c r="H6" s="4">
        <v>999</v>
      </c>
      <c r="I6" s="4">
        <f t="shared" si="0"/>
        <v>0</v>
      </c>
      <c r="J6" s="4">
        <f t="shared" si="1"/>
        <v>0</v>
      </c>
      <c r="K6" s="6">
        <f t="shared" si="2"/>
        <v>0</v>
      </c>
    </row>
    <row r="7" spans="1:11" ht="14" customHeight="1" x14ac:dyDescent="0.2">
      <c r="A7" s="3" t="s">
        <v>21</v>
      </c>
      <c r="B7" s="4" t="s">
        <v>24</v>
      </c>
      <c r="C7" s="4" t="s">
        <v>12</v>
      </c>
      <c r="D7" s="4" t="s">
        <v>225</v>
      </c>
      <c r="E7" s="5" t="s">
        <v>25</v>
      </c>
      <c r="F7" s="4" t="s">
        <v>223</v>
      </c>
      <c r="G7" s="4" t="s">
        <v>292</v>
      </c>
      <c r="H7" s="4">
        <v>3</v>
      </c>
      <c r="I7" s="4">
        <f t="shared" si="0"/>
        <v>0</v>
      </c>
      <c r="J7" s="4">
        <f t="shared" si="1"/>
        <v>1</v>
      </c>
      <c r="K7" s="6">
        <f t="shared" si="2"/>
        <v>0.33333333333333331</v>
      </c>
    </row>
    <row r="8" spans="1:11" ht="14" customHeight="1" x14ac:dyDescent="0.2">
      <c r="A8" s="3" t="s">
        <v>43</v>
      </c>
      <c r="B8" s="4" t="s">
        <v>394</v>
      </c>
      <c r="C8" s="4" t="s">
        <v>12</v>
      </c>
      <c r="D8" s="4" t="s">
        <v>228</v>
      </c>
      <c r="E8" s="5" t="s">
        <v>27</v>
      </c>
      <c r="F8" s="7" t="s">
        <v>229</v>
      </c>
      <c r="G8" s="4" t="s">
        <v>28</v>
      </c>
      <c r="H8" s="4">
        <v>16</v>
      </c>
      <c r="I8" s="4">
        <f t="shared" si="0"/>
        <v>0</v>
      </c>
      <c r="J8" s="4">
        <f t="shared" si="1"/>
        <v>0</v>
      </c>
      <c r="K8" s="6">
        <f t="shared" si="2"/>
        <v>0</v>
      </c>
    </row>
    <row r="9" spans="1:11" ht="14" customHeight="1" x14ac:dyDescent="0.2">
      <c r="A9" s="3" t="s">
        <v>23</v>
      </c>
      <c r="B9" s="4" t="s">
        <v>30</v>
      </c>
      <c r="C9" s="4" t="s">
        <v>12</v>
      </c>
      <c r="D9" s="4" t="s">
        <v>225</v>
      </c>
      <c r="E9" s="5" t="s">
        <v>31</v>
      </c>
      <c r="F9" s="4" t="s">
        <v>230</v>
      </c>
      <c r="G9" s="4" t="s">
        <v>32</v>
      </c>
      <c r="H9" s="4">
        <v>1</v>
      </c>
      <c r="I9" s="4">
        <f t="shared" si="0"/>
        <v>1</v>
      </c>
      <c r="J9" s="4">
        <f t="shared" si="1"/>
        <v>1</v>
      </c>
      <c r="K9" s="6">
        <f t="shared" si="2"/>
        <v>1</v>
      </c>
    </row>
    <row r="10" spans="1:11" ht="14" customHeight="1" x14ac:dyDescent="0.2">
      <c r="A10" s="3" t="s">
        <v>48</v>
      </c>
      <c r="B10" s="4" t="s">
        <v>34</v>
      </c>
      <c r="C10" s="4" t="s">
        <v>12</v>
      </c>
      <c r="D10" s="4" t="s">
        <v>35</v>
      </c>
      <c r="E10" s="5" t="s">
        <v>36</v>
      </c>
      <c r="F10" s="4" t="s">
        <v>226</v>
      </c>
      <c r="G10" s="4" t="s">
        <v>37</v>
      </c>
      <c r="H10" s="4">
        <v>6</v>
      </c>
      <c r="I10" s="4">
        <f t="shared" si="0"/>
        <v>0</v>
      </c>
      <c r="J10" s="4">
        <f t="shared" si="1"/>
        <v>0</v>
      </c>
      <c r="K10" s="6">
        <f t="shared" si="2"/>
        <v>0.16666666666666666</v>
      </c>
    </row>
    <row r="11" spans="1:11" ht="14" customHeight="1" x14ac:dyDescent="0.2">
      <c r="A11" s="3" t="s">
        <v>69</v>
      </c>
      <c r="B11" s="4" t="s">
        <v>39</v>
      </c>
      <c r="C11" s="4" t="s">
        <v>12</v>
      </c>
      <c r="D11" s="4" t="s">
        <v>40</v>
      </c>
      <c r="E11" s="5" t="s">
        <v>41</v>
      </c>
      <c r="F11" s="4" t="s">
        <v>223</v>
      </c>
      <c r="G11" s="4" t="s">
        <v>42</v>
      </c>
      <c r="H11" s="4">
        <v>1</v>
      </c>
      <c r="I11" s="4">
        <f t="shared" si="0"/>
        <v>1</v>
      </c>
      <c r="J11" s="4">
        <f t="shared" si="1"/>
        <v>1</v>
      </c>
      <c r="K11" s="6">
        <f t="shared" si="2"/>
        <v>1</v>
      </c>
    </row>
    <row r="12" spans="1:11" ht="14" customHeight="1" x14ac:dyDescent="0.2">
      <c r="A12" s="3" t="s">
        <v>73</v>
      </c>
      <c r="B12" s="4" t="s">
        <v>44</v>
      </c>
      <c r="C12" s="4" t="s">
        <v>45</v>
      </c>
      <c r="D12" s="4" t="s">
        <v>237</v>
      </c>
      <c r="E12" s="5" t="s">
        <v>46</v>
      </c>
      <c r="F12" s="4" t="s">
        <v>231</v>
      </c>
      <c r="G12" s="4" t="s">
        <v>47</v>
      </c>
      <c r="H12" s="4">
        <v>9</v>
      </c>
      <c r="I12" s="4">
        <f t="shared" si="0"/>
        <v>0</v>
      </c>
      <c r="J12" s="4">
        <f t="shared" si="1"/>
        <v>0</v>
      </c>
      <c r="K12" s="6">
        <f t="shared" si="2"/>
        <v>0.1111111111111111</v>
      </c>
    </row>
    <row r="13" spans="1:11" ht="14" customHeight="1" x14ac:dyDescent="0.2">
      <c r="A13" s="3" t="s">
        <v>50</v>
      </c>
      <c r="B13" s="4" t="s">
        <v>233</v>
      </c>
      <c r="C13" s="4" t="s">
        <v>45</v>
      </c>
      <c r="D13" s="4" t="s">
        <v>237</v>
      </c>
      <c r="E13" s="5" t="s">
        <v>46</v>
      </c>
      <c r="F13" s="4" t="s">
        <v>232</v>
      </c>
      <c r="G13" s="4" t="s">
        <v>49</v>
      </c>
      <c r="H13" s="4">
        <v>1</v>
      </c>
      <c r="I13" s="4">
        <f t="shared" si="0"/>
        <v>1</v>
      </c>
      <c r="J13" s="4">
        <f t="shared" si="1"/>
        <v>1</v>
      </c>
      <c r="K13" s="6">
        <f t="shared" si="2"/>
        <v>1</v>
      </c>
    </row>
    <row r="14" spans="1:11" ht="14" customHeight="1" x14ac:dyDescent="0.2">
      <c r="A14" s="3" t="s">
        <v>53</v>
      </c>
      <c r="B14" s="4" t="s">
        <v>395</v>
      </c>
      <c r="C14" s="4" t="s">
        <v>45</v>
      </c>
      <c r="D14" s="4" t="s">
        <v>238</v>
      </c>
      <c r="E14" s="5" t="s">
        <v>51</v>
      </c>
      <c r="F14" s="4" t="s">
        <v>234</v>
      </c>
      <c r="G14" s="4" t="s">
        <v>52</v>
      </c>
      <c r="H14" s="4">
        <v>999</v>
      </c>
      <c r="I14" s="4">
        <f t="shared" si="0"/>
        <v>0</v>
      </c>
      <c r="J14" s="4">
        <f t="shared" si="1"/>
        <v>0</v>
      </c>
      <c r="K14" s="6">
        <f t="shared" si="2"/>
        <v>0</v>
      </c>
    </row>
    <row r="15" spans="1:11" ht="14" customHeight="1" x14ac:dyDescent="0.2">
      <c r="A15" s="3" t="s">
        <v>76</v>
      </c>
      <c r="B15" s="4" t="s">
        <v>235</v>
      </c>
      <c r="C15" s="4" t="s">
        <v>45</v>
      </c>
      <c r="D15" s="4" t="s">
        <v>239</v>
      </c>
      <c r="E15" s="5" t="s">
        <v>54</v>
      </c>
      <c r="F15" s="4" t="s">
        <v>236</v>
      </c>
      <c r="G15" s="4" t="s">
        <v>55</v>
      </c>
      <c r="H15" s="4">
        <v>1</v>
      </c>
      <c r="I15" s="4">
        <f t="shared" si="0"/>
        <v>1</v>
      </c>
      <c r="J15" s="4">
        <f t="shared" si="1"/>
        <v>1</v>
      </c>
      <c r="K15" s="6">
        <f t="shared" si="2"/>
        <v>1</v>
      </c>
    </row>
    <row r="16" spans="1:11" ht="14" customHeight="1" x14ac:dyDescent="0.2">
      <c r="A16" s="3" t="s">
        <v>26</v>
      </c>
      <c r="B16" s="4" t="s">
        <v>242</v>
      </c>
      <c r="C16" s="4" t="s">
        <v>45</v>
      </c>
      <c r="D16" s="4" t="s">
        <v>241</v>
      </c>
      <c r="E16" s="5" t="s">
        <v>57</v>
      </c>
      <c r="F16" s="4" t="s">
        <v>243</v>
      </c>
      <c r="G16" s="4" t="s">
        <v>58</v>
      </c>
      <c r="H16" s="4">
        <v>2</v>
      </c>
      <c r="I16" s="4">
        <f t="shared" si="0"/>
        <v>0</v>
      </c>
      <c r="J16" s="4">
        <f t="shared" si="1"/>
        <v>1</v>
      </c>
      <c r="K16" s="6">
        <f t="shared" si="2"/>
        <v>0.5</v>
      </c>
    </row>
    <row r="17" spans="1:11" ht="14" customHeight="1" x14ac:dyDescent="0.2">
      <c r="A17" s="3" t="s">
        <v>29</v>
      </c>
      <c r="B17" s="4" t="s">
        <v>244</v>
      </c>
      <c r="C17" s="4" t="s">
        <v>45</v>
      </c>
      <c r="D17" s="4" t="s">
        <v>245</v>
      </c>
      <c r="E17" s="5" t="s">
        <v>60</v>
      </c>
      <c r="F17" s="4" t="s">
        <v>246</v>
      </c>
      <c r="G17" s="4" t="s">
        <v>61</v>
      </c>
      <c r="H17" s="4">
        <v>1</v>
      </c>
      <c r="I17" s="4">
        <f t="shared" si="0"/>
        <v>1</v>
      </c>
      <c r="J17" s="4">
        <f t="shared" si="1"/>
        <v>1</v>
      </c>
      <c r="K17" s="6">
        <f t="shared" si="2"/>
        <v>1</v>
      </c>
    </row>
    <row r="18" spans="1:11" ht="14" customHeight="1" x14ac:dyDescent="0.2">
      <c r="A18" s="3" t="s">
        <v>96</v>
      </c>
      <c r="B18" s="4" t="s">
        <v>248</v>
      </c>
      <c r="C18" s="4" t="s">
        <v>45</v>
      </c>
      <c r="D18" s="4" t="s">
        <v>247</v>
      </c>
      <c r="E18" s="5" t="s">
        <v>51</v>
      </c>
      <c r="F18" s="4" t="s">
        <v>250</v>
      </c>
      <c r="G18" s="4" t="s">
        <v>63</v>
      </c>
      <c r="H18" s="4">
        <v>1</v>
      </c>
      <c r="I18" s="4">
        <f t="shared" si="0"/>
        <v>1</v>
      </c>
      <c r="J18" s="4">
        <f t="shared" si="1"/>
        <v>1</v>
      </c>
      <c r="K18" s="6">
        <f t="shared" si="2"/>
        <v>1</v>
      </c>
    </row>
    <row r="19" spans="1:11" x14ac:dyDescent="0.2">
      <c r="A19" s="3" t="s">
        <v>100</v>
      </c>
      <c r="B19" s="4" t="s">
        <v>251</v>
      </c>
      <c r="C19" s="4" t="s">
        <v>45</v>
      </c>
      <c r="D19" s="4" t="s">
        <v>240</v>
      </c>
      <c r="E19" s="5" t="s">
        <v>252</v>
      </c>
      <c r="F19" s="4" t="s">
        <v>253</v>
      </c>
      <c r="G19" s="4" t="s">
        <v>65</v>
      </c>
      <c r="H19" s="4">
        <v>4</v>
      </c>
      <c r="I19" s="4">
        <f t="shared" si="0"/>
        <v>0</v>
      </c>
      <c r="J19" s="4">
        <f t="shared" si="1"/>
        <v>0</v>
      </c>
      <c r="K19" s="6">
        <f t="shared" si="2"/>
        <v>0.25</v>
      </c>
    </row>
    <row r="20" spans="1:11" x14ac:dyDescent="0.2">
      <c r="A20" s="3" t="s">
        <v>143</v>
      </c>
      <c r="B20" s="4" t="s">
        <v>254</v>
      </c>
      <c r="C20" s="4" t="s">
        <v>45</v>
      </c>
      <c r="D20" s="4" t="s">
        <v>240</v>
      </c>
      <c r="E20" s="5" t="s">
        <v>67</v>
      </c>
      <c r="F20" s="4" t="s">
        <v>255</v>
      </c>
      <c r="G20" s="4" t="s">
        <v>68</v>
      </c>
      <c r="H20" s="4">
        <v>1</v>
      </c>
      <c r="I20" s="4">
        <f t="shared" si="0"/>
        <v>1</v>
      </c>
      <c r="J20" s="4">
        <f t="shared" si="1"/>
        <v>1</v>
      </c>
      <c r="K20" s="6">
        <f t="shared" si="2"/>
        <v>1</v>
      </c>
    </row>
    <row r="21" spans="1:11" x14ac:dyDescent="0.2">
      <c r="A21" s="3" t="s">
        <v>405</v>
      </c>
      <c r="B21" s="4" t="s">
        <v>256</v>
      </c>
      <c r="C21" s="4" t="s">
        <v>70</v>
      </c>
      <c r="D21" s="4" t="s">
        <v>257</v>
      </c>
      <c r="E21" s="5" t="s">
        <v>71</v>
      </c>
      <c r="F21" s="4" t="s">
        <v>258</v>
      </c>
      <c r="G21" s="4" t="s">
        <v>72</v>
      </c>
      <c r="H21" s="4">
        <v>1</v>
      </c>
      <c r="I21" s="4">
        <f t="shared" si="0"/>
        <v>1</v>
      </c>
      <c r="J21" s="4">
        <f t="shared" si="1"/>
        <v>1</v>
      </c>
      <c r="K21" s="6">
        <f t="shared" si="2"/>
        <v>1</v>
      </c>
    </row>
    <row r="22" spans="1:11" x14ac:dyDescent="0.2">
      <c r="A22" s="3" t="s">
        <v>406</v>
      </c>
      <c r="B22" s="4" t="s">
        <v>261</v>
      </c>
      <c r="C22" s="4" t="s">
        <v>70</v>
      </c>
      <c r="D22" s="4" t="s">
        <v>259</v>
      </c>
      <c r="E22" s="5" t="s">
        <v>74</v>
      </c>
      <c r="F22" s="4" t="s">
        <v>260</v>
      </c>
      <c r="G22" s="4" t="s">
        <v>75</v>
      </c>
      <c r="H22" s="4">
        <v>10</v>
      </c>
      <c r="I22" s="4">
        <f t="shared" si="0"/>
        <v>0</v>
      </c>
      <c r="J22" s="4">
        <f t="shared" si="1"/>
        <v>0</v>
      </c>
      <c r="K22" s="6">
        <f t="shared" si="2"/>
        <v>0.1</v>
      </c>
    </row>
    <row r="23" spans="1:11" x14ac:dyDescent="0.2">
      <c r="A23" s="3" t="s">
        <v>79</v>
      </c>
      <c r="B23" s="4" t="s">
        <v>397</v>
      </c>
      <c r="C23" s="4" t="s">
        <v>70</v>
      </c>
      <c r="D23" s="4" t="s">
        <v>259</v>
      </c>
      <c r="E23" s="7" t="s">
        <v>77</v>
      </c>
      <c r="F23" s="4" t="s">
        <v>262</v>
      </c>
      <c r="G23" s="4" t="s">
        <v>78</v>
      </c>
      <c r="H23" s="4">
        <v>5</v>
      </c>
      <c r="I23" s="4">
        <f t="shared" si="0"/>
        <v>0</v>
      </c>
      <c r="J23" s="4">
        <f t="shared" si="1"/>
        <v>0</v>
      </c>
      <c r="K23" s="6">
        <f t="shared" si="2"/>
        <v>0.2</v>
      </c>
    </row>
    <row r="24" spans="1:11" x14ac:dyDescent="0.2">
      <c r="A24" s="3" t="s">
        <v>56</v>
      </c>
      <c r="B24" s="4" t="s">
        <v>80</v>
      </c>
      <c r="C24" s="4" t="s">
        <v>70</v>
      </c>
      <c r="D24" s="4" t="s">
        <v>263</v>
      </c>
      <c r="E24" s="5" t="s">
        <v>81</v>
      </c>
      <c r="F24" s="4" t="s">
        <v>264</v>
      </c>
      <c r="G24" s="4" t="s">
        <v>82</v>
      </c>
      <c r="H24" s="4">
        <v>1</v>
      </c>
      <c r="I24" s="4">
        <f t="shared" si="0"/>
        <v>1</v>
      </c>
      <c r="J24" s="4">
        <f t="shared" si="1"/>
        <v>1</v>
      </c>
      <c r="K24" s="6">
        <f t="shared" si="2"/>
        <v>1</v>
      </c>
    </row>
    <row r="25" spans="1:11" x14ac:dyDescent="0.2">
      <c r="A25" s="3" t="s">
        <v>59</v>
      </c>
      <c r="B25" s="4" t="s">
        <v>84</v>
      </c>
      <c r="C25" s="4" t="s">
        <v>70</v>
      </c>
      <c r="D25" s="4" t="s">
        <v>259</v>
      </c>
      <c r="E25" s="5" t="s">
        <v>85</v>
      </c>
      <c r="F25" s="4" t="s">
        <v>265</v>
      </c>
      <c r="G25" s="4" t="s">
        <v>86</v>
      </c>
      <c r="H25" s="4">
        <v>1</v>
      </c>
      <c r="I25" s="4">
        <f t="shared" si="0"/>
        <v>1</v>
      </c>
      <c r="J25" s="4">
        <f t="shared" si="1"/>
        <v>1</v>
      </c>
      <c r="K25" s="6">
        <f t="shared" si="2"/>
        <v>1</v>
      </c>
    </row>
    <row r="26" spans="1:11" x14ac:dyDescent="0.2">
      <c r="A26" s="3" t="s">
        <v>33</v>
      </c>
      <c r="B26" s="4" t="s">
        <v>266</v>
      </c>
      <c r="C26" s="4" t="s">
        <v>70</v>
      </c>
      <c r="D26" s="4" t="s">
        <v>267</v>
      </c>
      <c r="E26" s="5" t="s">
        <v>87</v>
      </c>
      <c r="F26" s="4" t="s">
        <v>262</v>
      </c>
      <c r="G26" s="4" t="s">
        <v>88</v>
      </c>
      <c r="H26" s="4">
        <v>1</v>
      </c>
      <c r="I26" s="4">
        <f t="shared" si="0"/>
        <v>1</v>
      </c>
      <c r="J26" s="4">
        <f t="shared" si="1"/>
        <v>1</v>
      </c>
      <c r="K26" s="6">
        <f t="shared" si="2"/>
        <v>1</v>
      </c>
    </row>
    <row r="27" spans="1:11" x14ac:dyDescent="0.2">
      <c r="A27" s="3" t="s">
        <v>38</v>
      </c>
      <c r="B27" s="4" t="s">
        <v>268</v>
      </c>
      <c r="C27" s="4" t="s">
        <v>70</v>
      </c>
      <c r="D27" s="4" t="s">
        <v>267</v>
      </c>
      <c r="E27" s="5" t="s">
        <v>89</v>
      </c>
      <c r="F27" s="4" t="s">
        <v>269</v>
      </c>
      <c r="G27" s="4" t="s">
        <v>90</v>
      </c>
      <c r="H27" s="4">
        <v>1</v>
      </c>
      <c r="I27" s="4">
        <f t="shared" si="0"/>
        <v>1</v>
      </c>
      <c r="J27" s="4">
        <f t="shared" si="1"/>
        <v>1</v>
      </c>
      <c r="K27" s="6">
        <f t="shared" si="2"/>
        <v>1</v>
      </c>
    </row>
    <row r="28" spans="1:11" x14ac:dyDescent="0.2">
      <c r="A28" s="3" t="s">
        <v>176</v>
      </c>
      <c r="B28" s="4" t="s">
        <v>270</v>
      </c>
      <c r="C28" s="4" t="s">
        <v>70</v>
      </c>
      <c r="D28" s="4" t="s">
        <v>271</v>
      </c>
      <c r="E28" s="5" t="s">
        <v>91</v>
      </c>
      <c r="F28" s="4" t="s">
        <v>262</v>
      </c>
      <c r="G28" s="4" t="s">
        <v>92</v>
      </c>
      <c r="H28" s="4">
        <v>1</v>
      </c>
      <c r="I28" s="4">
        <f t="shared" si="0"/>
        <v>1</v>
      </c>
      <c r="J28" s="4">
        <f t="shared" si="1"/>
        <v>1</v>
      </c>
      <c r="K28" s="6">
        <f t="shared" si="2"/>
        <v>1</v>
      </c>
    </row>
    <row r="29" spans="1:11" x14ac:dyDescent="0.2">
      <c r="A29" s="3" t="s">
        <v>177</v>
      </c>
      <c r="B29" s="4" t="s">
        <v>272</v>
      </c>
      <c r="C29" s="4" t="s">
        <v>70</v>
      </c>
      <c r="D29" s="4" t="s">
        <v>257</v>
      </c>
      <c r="E29" s="5" t="s">
        <v>94</v>
      </c>
      <c r="F29" s="4" t="s">
        <v>273</v>
      </c>
      <c r="G29" s="4" t="s">
        <v>95</v>
      </c>
      <c r="H29" s="4">
        <v>2</v>
      </c>
      <c r="I29" s="4">
        <f t="shared" si="0"/>
        <v>0</v>
      </c>
      <c r="J29" s="4">
        <f t="shared" si="1"/>
        <v>1</v>
      </c>
      <c r="K29" s="6">
        <f t="shared" si="2"/>
        <v>0.5</v>
      </c>
    </row>
    <row r="30" spans="1:11" x14ac:dyDescent="0.2">
      <c r="A30" s="3" t="s">
        <v>180</v>
      </c>
      <c r="B30" s="4" t="s">
        <v>396</v>
      </c>
      <c r="C30" s="4" t="s">
        <v>97</v>
      </c>
      <c r="D30" s="4" t="s">
        <v>275</v>
      </c>
      <c r="E30" s="5" t="s">
        <v>98</v>
      </c>
      <c r="F30" s="4" t="s">
        <v>277</v>
      </c>
      <c r="G30" s="4" t="s">
        <v>99</v>
      </c>
      <c r="H30" s="4">
        <v>10</v>
      </c>
      <c r="I30" s="4">
        <f t="shared" ref="I30" si="3">IF(H30="","",IF(H30&lt;=1,1,0))</f>
        <v>0</v>
      </c>
      <c r="J30" s="4">
        <f t="shared" ref="J30" si="4">IF(H30="","",IF(H30&lt;=3,1,0))</f>
        <v>0</v>
      </c>
      <c r="K30" s="6">
        <f t="shared" ref="K30" si="5">IF(H30="","",IF(H30&lt;=10,1/H30,0))</f>
        <v>0.1</v>
      </c>
    </row>
    <row r="31" spans="1:11" x14ac:dyDescent="0.2">
      <c r="A31" s="3" t="s">
        <v>183</v>
      </c>
      <c r="B31" s="4" t="s">
        <v>274</v>
      </c>
      <c r="C31" s="4" t="s">
        <v>97</v>
      </c>
      <c r="D31" s="4" t="s">
        <v>275</v>
      </c>
      <c r="E31" s="5" t="s">
        <v>98</v>
      </c>
      <c r="F31" s="4" t="s">
        <v>277</v>
      </c>
      <c r="G31" s="4" t="s">
        <v>99</v>
      </c>
      <c r="H31" s="4">
        <v>1</v>
      </c>
      <c r="I31" s="4">
        <f t="shared" si="0"/>
        <v>1</v>
      </c>
      <c r="J31" s="4">
        <f t="shared" si="1"/>
        <v>1</v>
      </c>
      <c r="K31" s="6">
        <f t="shared" si="2"/>
        <v>1</v>
      </c>
    </row>
    <row r="32" spans="1:11" x14ac:dyDescent="0.2">
      <c r="A32" s="3" t="s">
        <v>185</v>
      </c>
      <c r="B32" s="4" t="s">
        <v>279</v>
      </c>
      <c r="C32" s="4" t="s">
        <v>97</v>
      </c>
      <c r="D32" s="4" t="s">
        <v>281</v>
      </c>
      <c r="E32" s="5" t="s">
        <v>102</v>
      </c>
      <c r="F32" s="5" t="s">
        <v>103</v>
      </c>
      <c r="G32" s="4" t="s">
        <v>104</v>
      </c>
      <c r="H32" s="4">
        <v>999</v>
      </c>
      <c r="I32" s="4">
        <f t="shared" si="0"/>
        <v>0</v>
      </c>
      <c r="J32" s="4">
        <f t="shared" si="1"/>
        <v>0</v>
      </c>
      <c r="K32" s="6">
        <f t="shared" si="2"/>
        <v>0</v>
      </c>
    </row>
    <row r="33" spans="1:11" x14ac:dyDescent="0.2">
      <c r="A33" s="3" t="s">
        <v>188</v>
      </c>
      <c r="B33" s="4" t="s">
        <v>101</v>
      </c>
      <c r="C33" s="4" t="s">
        <v>97</v>
      </c>
      <c r="D33" s="4" t="s">
        <v>281</v>
      </c>
      <c r="E33" s="5" t="s">
        <v>102</v>
      </c>
      <c r="F33" s="5" t="s">
        <v>103</v>
      </c>
      <c r="G33" s="4" t="s">
        <v>106</v>
      </c>
      <c r="H33" s="4">
        <v>999</v>
      </c>
      <c r="I33" s="4">
        <f t="shared" si="0"/>
        <v>0</v>
      </c>
      <c r="J33" s="4">
        <f t="shared" si="1"/>
        <v>0</v>
      </c>
      <c r="K33" s="6">
        <f t="shared" si="2"/>
        <v>0</v>
      </c>
    </row>
    <row r="34" spans="1:11" x14ac:dyDescent="0.2">
      <c r="A34" s="3" t="s">
        <v>190</v>
      </c>
      <c r="B34" s="4" t="s">
        <v>280</v>
      </c>
      <c r="C34" s="4" t="s">
        <v>97</v>
      </c>
      <c r="D34" s="4" t="s">
        <v>281</v>
      </c>
      <c r="E34" s="5" t="s">
        <v>108</v>
      </c>
      <c r="F34" s="4" t="s">
        <v>282</v>
      </c>
      <c r="G34" s="4" t="s">
        <v>109</v>
      </c>
      <c r="H34" s="4">
        <v>1</v>
      </c>
      <c r="I34" s="4">
        <f t="shared" si="0"/>
        <v>1</v>
      </c>
      <c r="J34" s="4">
        <f t="shared" si="1"/>
        <v>1</v>
      </c>
      <c r="K34" s="6">
        <f t="shared" si="2"/>
        <v>1</v>
      </c>
    </row>
    <row r="35" spans="1:11" x14ac:dyDescent="0.2">
      <c r="A35" s="3" t="s">
        <v>193</v>
      </c>
      <c r="B35" s="4" t="s">
        <v>283</v>
      </c>
      <c r="C35" s="4" t="s">
        <v>97</v>
      </c>
      <c r="D35" s="4" t="s">
        <v>285</v>
      </c>
      <c r="E35" s="5" t="s">
        <v>111</v>
      </c>
      <c r="F35" s="4" t="s">
        <v>284</v>
      </c>
      <c r="G35" s="4" t="s">
        <v>112</v>
      </c>
      <c r="H35" s="4">
        <v>4</v>
      </c>
      <c r="I35" s="4">
        <f t="shared" si="0"/>
        <v>0</v>
      </c>
      <c r="J35" s="4">
        <f t="shared" si="1"/>
        <v>0</v>
      </c>
      <c r="K35" s="6">
        <f t="shared" si="2"/>
        <v>0.25</v>
      </c>
    </row>
    <row r="36" spans="1:11" x14ac:dyDescent="0.2">
      <c r="A36" s="3" t="s">
        <v>196</v>
      </c>
      <c r="B36" s="4" t="s">
        <v>114</v>
      </c>
      <c r="C36" s="4" t="s">
        <v>97</v>
      </c>
      <c r="D36" s="4" t="s">
        <v>278</v>
      </c>
      <c r="E36" s="5" t="s">
        <v>103</v>
      </c>
      <c r="F36" s="5" t="s">
        <v>102</v>
      </c>
      <c r="G36" s="4" t="s">
        <v>115</v>
      </c>
      <c r="H36" s="4">
        <v>1</v>
      </c>
      <c r="I36" s="4">
        <f t="shared" ref="I36:I69" si="6">IF(H36="","",IF(H36&lt;=1,1,0))</f>
        <v>1</v>
      </c>
      <c r="J36" s="4">
        <f t="shared" ref="J36:J69" si="7">IF(H36="","",IF(H36&lt;=3,1,0))</f>
        <v>1</v>
      </c>
      <c r="K36" s="6">
        <f t="shared" ref="K36:K69" si="8">IF(H36="","",IF(H36&lt;=10,1/H36,0))</f>
        <v>1</v>
      </c>
    </row>
    <row r="37" spans="1:11" x14ac:dyDescent="0.2">
      <c r="A37" s="3" t="s">
        <v>199</v>
      </c>
      <c r="B37" s="4" t="s">
        <v>286</v>
      </c>
      <c r="C37" s="4" t="s">
        <v>97</v>
      </c>
      <c r="D37" s="4" t="s">
        <v>287</v>
      </c>
      <c r="E37" s="5" t="s">
        <v>117</v>
      </c>
      <c r="F37" s="4" t="s">
        <v>288</v>
      </c>
      <c r="G37" s="4" t="s">
        <v>118</v>
      </c>
      <c r="H37" s="4">
        <v>1</v>
      </c>
      <c r="I37" s="4">
        <f t="shared" si="6"/>
        <v>1</v>
      </c>
      <c r="J37" s="4">
        <f t="shared" si="7"/>
        <v>1</v>
      </c>
      <c r="K37" s="6">
        <f t="shared" si="8"/>
        <v>1</v>
      </c>
    </row>
    <row r="38" spans="1:11" x14ac:dyDescent="0.2">
      <c r="A38" s="3" t="s">
        <v>200</v>
      </c>
      <c r="B38" s="4" t="s">
        <v>289</v>
      </c>
      <c r="C38" s="4" t="s">
        <v>97</v>
      </c>
      <c r="D38" s="4" t="s">
        <v>285</v>
      </c>
      <c r="E38" s="5" t="s">
        <v>120</v>
      </c>
      <c r="F38" s="4" t="s">
        <v>290</v>
      </c>
      <c r="G38" s="4" t="s">
        <v>291</v>
      </c>
      <c r="H38" s="4">
        <v>1</v>
      </c>
      <c r="I38" s="4">
        <f t="shared" si="6"/>
        <v>1</v>
      </c>
      <c r="J38" s="4">
        <f t="shared" si="7"/>
        <v>1</v>
      </c>
      <c r="K38" s="6">
        <f t="shared" si="8"/>
        <v>1</v>
      </c>
    </row>
    <row r="39" spans="1:11" x14ac:dyDescent="0.2">
      <c r="A39" s="3" t="s">
        <v>203</v>
      </c>
      <c r="B39" s="4" t="s">
        <v>295</v>
      </c>
      <c r="C39" s="4" t="s">
        <v>122</v>
      </c>
      <c r="D39" s="4" t="s">
        <v>296</v>
      </c>
      <c r="E39" s="5" t="s">
        <v>123</v>
      </c>
      <c r="F39" s="4" t="s">
        <v>297</v>
      </c>
      <c r="G39" s="4" t="s">
        <v>124</v>
      </c>
      <c r="H39" s="4">
        <v>9</v>
      </c>
      <c r="I39" s="4">
        <f t="shared" si="6"/>
        <v>0</v>
      </c>
      <c r="J39" s="4">
        <f t="shared" si="7"/>
        <v>0</v>
      </c>
      <c r="K39" s="6">
        <f t="shared" si="8"/>
        <v>0.1111111111111111</v>
      </c>
    </row>
    <row r="40" spans="1:11" x14ac:dyDescent="0.2">
      <c r="A40" s="3" t="s">
        <v>204</v>
      </c>
      <c r="B40" s="4" t="s">
        <v>126</v>
      </c>
      <c r="C40" s="4" t="s">
        <v>122</v>
      </c>
      <c r="D40" s="4" t="s">
        <v>298</v>
      </c>
      <c r="E40" s="5" t="s">
        <v>127</v>
      </c>
      <c r="F40" s="4" t="s">
        <v>299</v>
      </c>
      <c r="G40" s="4" t="s">
        <v>128</v>
      </c>
      <c r="H40" s="4">
        <v>15</v>
      </c>
      <c r="I40" s="4">
        <f t="shared" si="6"/>
        <v>0</v>
      </c>
      <c r="J40" s="4">
        <f t="shared" si="7"/>
        <v>0</v>
      </c>
      <c r="K40" s="6">
        <f t="shared" si="8"/>
        <v>0</v>
      </c>
    </row>
    <row r="41" spans="1:11" x14ac:dyDescent="0.2">
      <c r="A41" s="3" t="s">
        <v>205</v>
      </c>
      <c r="B41" s="4" t="s">
        <v>300</v>
      </c>
      <c r="C41" s="4" t="s">
        <v>122</v>
      </c>
      <c r="D41" s="4" t="s">
        <v>301</v>
      </c>
      <c r="E41" s="5" t="s">
        <v>129</v>
      </c>
      <c r="F41" s="4" t="s">
        <v>302</v>
      </c>
      <c r="G41" s="4" t="s">
        <v>130</v>
      </c>
      <c r="H41" s="4">
        <v>1</v>
      </c>
      <c r="I41" s="4">
        <f t="shared" si="6"/>
        <v>1</v>
      </c>
      <c r="J41" s="4">
        <f t="shared" si="7"/>
        <v>1</v>
      </c>
      <c r="K41" s="6">
        <f t="shared" si="8"/>
        <v>1</v>
      </c>
    </row>
    <row r="42" spans="1:11" x14ac:dyDescent="0.2">
      <c r="A42" s="3" t="s">
        <v>62</v>
      </c>
      <c r="B42" s="4" t="s">
        <v>303</v>
      </c>
      <c r="C42" s="4" t="s">
        <v>122</v>
      </c>
      <c r="D42" s="4" t="s">
        <v>298</v>
      </c>
      <c r="E42" s="5" t="s">
        <v>127</v>
      </c>
      <c r="F42" s="4" t="s">
        <v>297</v>
      </c>
      <c r="G42" s="4" t="s">
        <v>128</v>
      </c>
      <c r="H42" s="4">
        <v>1</v>
      </c>
      <c r="I42" s="4">
        <f t="shared" si="6"/>
        <v>1</v>
      </c>
      <c r="J42" s="4">
        <f t="shared" si="7"/>
        <v>1</v>
      </c>
      <c r="K42" s="6">
        <f t="shared" si="8"/>
        <v>1</v>
      </c>
    </row>
    <row r="43" spans="1:11" x14ac:dyDescent="0.2">
      <c r="A43" s="3" t="s">
        <v>64</v>
      </c>
      <c r="B43" s="4" t="s">
        <v>131</v>
      </c>
      <c r="C43" s="4" t="s">
        <v>122</v>
      </c>
      <c r="D43" s="4" t="s">
        <v>296</v>
      </c>
      <c r="E43" s="5" t="s">
        <v>132</v>
      </c>
      <c r="F43" s="8" t="s">
        <v>305</v>
      </c>
      <c r="G43" s="4" t="s">
        <v>133</v>
      </c>
      <c r="H43" s="4">
        <v>1</v>
      </c>
      <c r="I43" s="4">
        <f t="shared" si="6"/>
        <v>1</v>
      </c>
      <c r="J43" s="4">
        <f t="shared" si="7"/>
        <v>1</v>
      </c>
      <c r="K43" s="6">
        <f t="shared" si="8"/>
        <v>1</v>
      </c>
    </row>
    <row r="44" spans="1:11" x14ac:dyDescent="0.2">
      <c r="A44" s="3" t="s">
        <v>66</v>
      </c>
      <c r="B44" s="4" t="s">
        <v>306</v>
      </c>
      <c r="C44" s="4" t="s">
        <v>122</v>
      </c>
      <c r="D44" s="4" t="s">
        <v>298</v>
      </c>
      <c r="E44" s="5" t="s">
        <v>134</v>
      </c>
      <c r="F44" s="4" t="s">
        <v>307</v>
      </c>
      <c r="G44" s="4" t="s">
        <v>135</v>
      </c>
      <c r="H44" s="4">
        <v>1</v>
      </c>
      <c r="I44" s="4">
        <f t="shared" si="6"/>
        <v>1</v>
      </c>
      <c r="J44" s="4">
        <f t="shared" si="7"/>
        <v>1</v>
      </c>
      <c r="K44" s="6">
        <f t="shared" si="8"/>
        <v>1</v>
      </c>
    </row>
    <row r="45" spans="1:11" x14ac:dyDescent="0.2">
      <c r="A45" s="3" t="s">
        <v>207</v>
      </c>
      <c r="B45" s="4" t="s">
        <v>308</v>
      </c>
      <c r="C45" s="4" t="s">
        <v>122</v>
      </c>
      <c r="D45" s="4" t="s">
        <v>298</v>
      </c>
      <c r="E45" s="8" t="s">
        <v>136</v>
      </c>
      <c r="F45" s="4" t="s">
        <v>305</v>
      </c>
      <c r="G45" s="4" t="s">
        <v>137</v>
      </c>
      <c r="H45" s="4">
        <v>1</v>
      </c>
      <c r="I45" s="4">
        <f t="shared" si="6"/>
        <v>1</v>
      </c>
      <c r="J45" s="4">
        <f t="shared" si="7"/>
        <v>1</v>
      </c>
      <c r="K45" s="6">
        <f t="shared" si="8"/>
        <v>1</v>
      </c>
    </row>
    <row r="46" spans="1:11" x14ac:dyDescent="0.2">
      <c r="A46" s="3" t="s">
        <v>208</v>
      </c>
      <c r="B46" s="4" t="s">
        <v>309</v>
      </c>
      <c r="C46" s="4" t="s">
        <v>122</v>
      </c>
      <c r="D46" s="4" t="s">
        <v>138</v>
      </c>
      <c r="E46" s="5" t="s">
        <v>139</v>
      </c>
      <c r="F46" s="4" t="s">
        <v>310</v>
      </c>
      <c r="G46" s="4" t="s">
        <v>140</v>
      </c>
      <c r="H46" s="4">
        <v>1</v>
      </c>
      <c r="I46" s="4">
        <f t="shared" si="6"/>
        <v>1</v>
      </c>
      <c r="J46" s="4">
        <f t="shared" si="7"/>
        <v>1</v>
      </c>
      <c r="K46" s="6">
        <f t="shared" si="8"/>
        <v>1</v>
      </c>
    </row>
    <row r="47" spans="1:11" x14ac:dyDescent="0.2">
      <c r="A47" s="3" t="s">
        <v>212</v>
      </c>
      <c r="B47" s="4" t="s">
        <v>311</v>
      </c>
      <c r="C47" s="4" t="s">
        <v>122</v>
      </c>
      <c r="D47" s="4" t="s">
        <v>296</v>
      </c>
      <c r="E47" s="5" t="s">
        <v>141</v>
      </c>
      <c r="F47" s="8" t="s">
        <v>304</v>
      </c>
      <c r="G47" s="4" t="s">
        <v>142</v>
      </c>
      <c r="H47" s="4">
        <v>1</v>
      </c>
      <c r="I47" s="4">
        <f t="shared" si="6"/>
        <v>1</v>
      </c>
      <c r="J47" s="4">
        <f t="shared" si="7"/>
        <v>1</v>
      </c>
      <c r="K47" s="6">
        <f t="shared" si="8"/>
        <v>1</v>
      </c>
    </row>
    <row r="48" spans="1:11" x14ac:dyDescent="0.2">
      <c r="A48" s="3" t="s">
        <v>215</v>
      </c>
      <c r="B48" s="4" t="s">
        <v>312</v>
      </c>
      <c r="C48" s="4" t="s">
        <v>144</v>
      </c>
      <c r="D48" s="4" t="s">
        <v>313</v>
      </c>
      <c r="E48" s="5" t="s">
        <v>145</v>
      </c>
      <c r="F48" s="4" t="s">
        <v>314</v>
      </c>
      <c r="G48" s="4" t="s">
        <v>146</v>
      </c>
      <c r="H48" s="4">
        <v>1</v>
      </c>
      <c r="I48" s="4">
        <f t="shared" si="6"/>
        <v>1</v>
      </c>
      <c r="J48" s="4">
        <f t="shared" si="7"/>
        <v>1</v>
      </c>
      <c r="K48" s="6">
        <f t="shared" si="8"/>
        <v>1</v>
      </c>
    </row>
    <row r="49" spans="1:11" x14ac:dyDescent="0.2">
      <c r="A49" s="3" t="s">
        <v>216</v>
      </c>
      <c r="B49" s="4" t="s">
        <v>315</v>
      </c>
      <c r="C49" s="4" t="s">
        <v>144</v>
      </c>
      <c r="D49" s="4" t="s">
        <v>313</v>
      </c>
      <c r="E49" s="5" t="s">
        <v>148</v>
      </c>
      <c r="F49" s="4" t="s">
        <v>276</v>
      </c>
      <c r="G49" s="4" t="s">
        <v>316</v>
      </c>
      <c r="H49" s="4">
        <v>1</v>
      </c>
      <c r="I49" s="4">
        <f t="shared" si="6"/>
        <v>1</v>
      </c>
      <c r="J49" s="4">
        <f t="shared" si="7"/>
        <v>1</v>
      </c>
      <c r="K49" s="6">
        <f t="shared" si="8"/>
        <v>1</v>
      </c>
    </row>
    <row r="50" spans="1:11" x14ac:dyDescent="0.2">
      <c r="A50" s="3" t="s">
        <v>219</v>
      </c>
      <c r="B50" s="4" t="s">
        <v>317</v>
      </c>
      <c r="C50" s="4" t="s">
        <v>144</v>
      </c>
      <c r="D50" s="4" t="s">
        <v>313</v>
      </c>
      <c r="E50" s="5" t="s">
        <v>145</v>
      </c>
      <c r="F50" s="4" t="s">
        <v>314</v>
      </c>
      <c r="G50" s="4" t="s">
        <v>149</v>
      </c>
      <c r="H50" s="4">
        <v>1</v>
      </c>
      <c r="I50" s="4">
        <f t="shared" si="6"/>
        <v>1</v>
      </c>
      <c r="J50" s="4">
        <f t="shared" si="7"/>
        <v>1</v>
      </c>
      <c r="K50" s="6">
        <f t="shared" si="8"/>
        <v>1</v>
      </c>
    </row>
    <row r="51" spans="1:11" x14ac:dyDescent="0.2">
      <c r="A51" s="3" t="s">
        <v>83</v>
      </c>
      <c r="B51" s="4" t="s">
        <v>318</v>
      </c>
      <c r="C51" s="4" t="s">
        <v>144</v>
      </c>
      <c r="D51" s="4" t="s">
        <v>313</v>
      </c>
      <c r="E51" s="5" t="s">
        <v>150</v>
      </c>
      <c r="F51" s="4" t="s">
        <v>319</v>
      </c>
      <c r="G51" s="4" t="s">
        <v>151</v>
      </c>
      <c r="H51" s="4">
        <v>1</v>
      </c>
      <c r="I51" s="4">
        <f t="shared" si="6"/>
        <v>1</v>
      </c>
      <c r="J51" s="4">
        <f t="shared" si="7"/>
        <v>1</v>
      </c>
      <c r="K51" s="6">
        <f t="shared" si="8"/>
        <v>1</v>
      </c>
    </row>
    <row r="52" spans="1:11" x14ac:dyDescent="0.2">
      <c r="A52" s="3" t="s">
        <v>407</v>
      </c>
      <c r="B52" s="4" t="s">
        <v>404</v>
      </c>
      <c r="C52" s="4" t="s">
        <v>152</v>
      </c>
      <c r="D52" s="4" t="s">
        <v>322</v>
      </c>
      <c r="E52" s="5" t="s">
        <v>326</v>
      </c>
      <c r="F52" s="4" t="s">
        <v>321</v>
      </c>
      <c r="G52" s="4" t="s">
        <v>154</v>
      </c>
      <c r="H52" s="4">
        <v>6</v>
      </c>
      <c r="I52" s="4">
        <f t="shared" si="6"/>
        <v>0</v>
      </c>
      <c r="J52" s="4">
        <f t="shared" si="7"/>
        <v>0</v>
      </c>
      <c r="K52" s="6">
        <f t="shared" si="8"/>
        <v>0.16666666666666666</v>
      </c>
    </row>
    <row r="53" spans="1:11" x14ac:dyDescent="0.2">
      <c r="A53" s="3" t="s">
        <v>408</v>
      </c>
      <c r="B53" s="4" t="s">
        <v>320</v>
      </c>
      <c r="C53" s="4" t="s">
        <v>152</v>
      </c>
      <c r="D53" s="4" t="s">
        <v>322</v>
      </c>
      <c r="E53" s="5" t="s">
        <v>153</v>
      </c>
      <c r="F53" s="4" t="s">
        <v>321</v>
      </c>
      <c r="G53" s="4" t="s">
        <v>154</v>
      </c>
      <c r="H53" s="4">
        <v>1</v>
      </c>
      <c r="I53" s="4">
        <f t="shared" si="6"/>
        <v>1</v>
      </c>
      <c r="J53" s="4">
        <f t="shared" si="7"/>
        <v>1</v>
      </c>
      <c r="K53" s="6">
        <f t="shared" si="8"/>
        <v>1</v>
      </c>
    </row>
    <row r="54" spans="1:11" x14ac:dyDescent="0.2">
      <c r="A54" s="3" t="s">
        <v>409</v>
      </c>
      <c r="B54" s="4" t="s">
        <v>323</v>
      </c>
      <c r="C54" s="4" t="s">
        <v>12</v>
      </c>
      <c r="D54" s="4" t="s">
        <v>224</v>
      </c>
      <c r="E54" s="8" t="s">
        <v>324</v>
      </c>
      <c r="F54" s="4" t="s">
        <v>326</v>
      </c>
      <c r="G54" s="4" t="s">
        <v>155</v>
      </c>
      <c r="H54" s="4">
        <v>1</v>
      </c>
      <c r="I54" s="4">
        <f t="shared" si="6"/>
        <v>1</v>
      </c>
      <c r="J54" s="4">
        <f t="shared" si="7"/>
        <v>1</v>
      </c>
      <c r="K54" s="6">
        <f t="shared" si="8"/>
        <v>1</v>
      </c>
    </row>
    <row r="55" spans="1:11" x14ac:dyDescent="0.2">
      <c r="A55" s="3" t="s">
        <v>93</v>
      </c>
      <c r="B55" s="4" t="s">
        <v>327</v>
      </c>
      <c r="C55" s="4" t="s">
        <v>152</v>
      </c>
      <c r="D55" s="4" t="s">
        <v>322</v>
      </c>
      <c r="E55" s="8" t="s">
        <v>156</v>
      </c>
      <c r="F55" s="4" t="s">
        <v>328</v>
      </c>
      <c r="G55" s="4" t="s">
        <v>157</v>
      </c>
      <c r="H55" s="4">
        <v>1</v>
      </c>
      <c r="I55" s="4">
        <f t="shared" si="6"/>
        <v>1</v>
      </c>
      <c r="J55" s="4">
        <f t="shared" si="7"/>
        <v>1</v>
      </c>
      <c r="K55" s="6">
        <f t="shared" si="8"/>
        <v>1</v>
      </c>
    </row>
    <row r="56" spans="1:11" x14ac:dyDescent="0.2">
      <c r="A56" s="3" t="s">
        <v>222</v>
      </c>
      <c r="B56" s="4" t="s">
        <v>329</v>
      </c>
      <c r="C56" s="4" t="s">
        <v>152</v>
      </c>
      <c r="D56" s="4" t="s">
        <v>322</v>
      </c>
      <c r="E56" s="5" t="s">
        <v>158</v>
      </c>
      <c r="F56" s="4" t="s">
        <v>328</v>
      </c>
      <c r="G56" s="4" t="s">
        <v>159</v>
      </c>
      <c r="H56" s="4">
        <v>1</v>
      </c>
      <c r="I56" s="4">
        <v>1</v>
      </c>
      <c r="J56" s="4">
        <f t="shared" si="7"/>
        <v>1</v>
      </c>
      <c r="K56" s="6">
        <f t="shared" si="8"/>
        <v>1</v>
      </c>
    </row>
    <row r="57" spans="1:11" x14ac:dyDescent="0.2">
      <c r="A57" s="3" t="s">
        <v>331</v>
      </c>
      <c r="B57" s="4" t="s">
        <v>330</v>
      </c>
      <c r="C57" s="4" t="s">
        <v>152</v>
      </c>
      <c r="D57" s="4" t="s">
        <v>322</v>
      </c>
      <c r="E57" s="5" t="s">
        <v>160</v>
      </c>
      <c r="F57" s="4" t="s">
        <v>328</v>
      </c>
      <c r="G57" s="4" t="s">
        <v>161</v>
      </c>
      <c r="H57" s="4">
        <v>1</v>
      </c>
      <c r="I57" s="4">
        <f t="shared" si="6"/>
        <v>1</v>
      </c>
      <c r="J57" s="4">
        <f t="shared" si="7"/>
        <v>1</v>
      </c>
      <c r="K57" s="6">
        <f t="shared" si="8"/>
        <v>1</v>
      </c>
    </row>
    <row r="58" spans="1:11" x14ac:dyDescent="0.2">
      <c r="A58" s="3" t="s">
        <v>332</v>
      </c>
      <c r="B58" s="4" t="s">
        <v>350</v>
      </c>
      <c r="C58" s="4" t="s">
        <v>346</v>
      </c>
      <c r="D58" s="4" t="s">
        <v>347</v>
      </c>
      <c r="E58" s="5" t="s">
        <v>351</v>
      </c>
      <c r="F58" s="4" t="s">
        <v>352</v>
      </c>
      <c r="G58" s="4" t="s">
        <v>353</v>
      </c>
      <c r="H58" s="4">
        <v>1</v>
      </c>
      <c r="I58" s="4">
        <f t="shared" si="6"/>
        <v>1</v>
      </c>
      <c r="J58" s="4">
        <f t="shared" si="7"/>
        <v>1</v>
      </c>
      <c r="K58" s="6">
        <f t="shared" si="8"/>
        <v>1</v>
      </c>
    </row>
    <row r="59" spans="1:11" x14ac:dyDescent="0.2">
      <c r="A59" s="3" t="s">
        <v>333</v>
      </c>
      <c r="B59" s="4" t="s">
        <v>344</v>
      </c>
      <c r="C59" s="4" t="s">
        <v>346</v>
      </c>
      <c r="D59" s="4" t="s">
        <v>347</v>
      </c>
      <c r="E59" s="5" t="s">
        <v>345</v>
      </c>
      <c r="F59" s="4" t="s">
        <v>348</v>
      </c>
      <c r="G59" s="4" t="s">
        <v>349</v>
      </c>
      <c r="H59" s="4">
        <v>1</v>
      </c>
      <c r="I59" s="4">
        <f t="shared" si="6"/>
        <v>1</v>
      </c>
      <c r="J59" s="4">
        <f t="shared" si="7"/>
        <v>1</v>
      </c>
      <c r="K59" s="6">
        <f t="shared" si="8"/>
        <v>1</v>
      </c>
    </row>
    <row r="60" spans="1:11" x14ac:dyDescent="0.2">
      <c r="A60" s="3" t="s">
        <v>334</v>
      </c>
      <c r="B60" s="4" t="s">
        <v>354</v>
      </c>
      <c r="C60" s="4" t="s">
        <v>162</v>
      </c>
      <c r="D60" s="4" t="s">
        <v>356</v>
      </c>
      <c r="E60" s="5" t="s">
        <v>163</v>
      </c>
      <c r="F60" s="4" t="s">
        <v>355</v>
      </c>
      <c r="G60" s="4" t="s">
        <v>164</v>
      </c>
      <c r="H60" s="4">
        <v>1</v>
      </c>
      <c r="I60" s="4">
        <f t="shared" si="6"/>
        <v>1</v>
      </c>
      <c r="J60" s="4">
        <f t="shared" si="7"/>
        <v>1</v>
      </c>
      <c r="K60" s="6">
        <f t="shared" si="8"/>
        <v>1</v>
      </c>
    </row>
    <row r="61" spans="1:11" ht="16" x14ac:dyDescent="0.2">
      <c r="A61" s="3" t="s">
        <v>335</v>
      </c>
      <c r="B61" s="4" t="s">
        <v>165</v>
      </c>
      <c r="C61" s="4" t="s">
        <v>162</v>
      </c>
      <c r="D61" s="9" t="s">
        <v>365</v>
      </c>
      <c r="E61" s="5" t="s">
        <v>166</v>
      </c>
      <c r="F61" s="4" t="s">
        <v>357</v>
      </c>
      <c r="G61" s="4" t="s">
        <v>167</v>
      </c>
      <c r="H61" s="4">
        <v>1</v>
      </c>
      <c r="I61" s="4">
        <f t="shared" si="6"/>
        <v>1</v>
      </c>
      <c r="J61" s="4">
        <f t="shared" si="7"/>
        <v>1</v>
      </c>
      <c r="K61" s="6">
        <f t="shared" si="8"/>
        <v>1</v>
      </c>
    </row>
    <row r="62" spans="1:11" x14ac:dyDescent="0.2">
      <c r="A62" s="3" t="s">
        <v>336</v>
      </c>
      <c r="B62" s="4" t="s">
        <v>358</v>
      </c>
      <c r="C62" s="4" t="s">
        <v>162</v>
      </c>
      <c r="D62" s="4" t="s">
        <v>364</v>
      </c>
      <c r="E62" s="5" t="s">
        <v>168</v>
      </c>
      <c r="F62" s="4" t="s">
        <v>359</v>
      </c>
      <c r="G62" s="4" t="s">
        <v>169</v>
      </c>
      <c r="H62" s="4">
        <v>1</v>
      </c>
      <c r="I62" s="4">
        <f t="shared" si="6"/>
        <v>1</v>
      </c>
      <c r="J62" s="4">
        <f t="shared" si="7"/>
        <v>1</v>
      </c>
      <c r="K62" s="6">
        <f t="shared" si="8"/>
        <v>1</v>
      </c>
    </row>
    <row r="63" spans="1:11" x14ac:dyDescent="0.2">
      <c r="A63" s="3" t="s">
        <v>337</v>
      </c>
      <c r="B63" s="4" t="s">
        <v>360</v>
      </c>
      <c r="C63" s="4" t="s">
        <v>162</v>
      </c>
      <c r="D63" s="4" t="s">
        <v>364</v>
      </c>
      <c r="E63" s="5" t="s">
        <v>170</v>
      </c>
      <c r="F63" s="4" t="s">
        <v>361</v>
      </c>
      <c r="G63" s="4" t="s">
        <v>171</v>
      </c>
      <c r="H63" s="4">
        <v>2</v>
      </c>
      <c r="I63" s="4">
        <f t="shared" si="6"/>
        <v>0</v>
      </c>
      <c r="J63" s="4">
        <f t="shared" si="7"/>
        <v>1</v>
      </c>
      <c r="K63" s="6">
        <f t="shared" si="8"/>
        <v>0.5</v>
      </c>
    </row>
    <row r="64" spans="1:11" ht="16" x14ac:dyDescent="0.2">
      <c r="A64" s="3" t="s">
        <v>338</v>
      </c>
      <c r="B64" s="4" t="s">
        <v>362</v>
      </c>
      <c r="C64" s="4" t="s">
        <v>162</v>
      </c>
      <c r="D64" s="9" t="s">
        <v>363</v>
      </c>
      <c r="E64" s="5" t="s">
        <v>172</v>
      </c>
      <c r="F64" s="4" t="s">
        <v>359</v>
      </c>
      <c r="G64" s="4" t="s">
        <v>173</v>
      </c>
      <c r="H64" s="4">
        <v>1</v>
      </c>
      <c r="I64" s="4">
        <f t="shared" si="6"/>
        <v>1</v>
      </c>
      <c r="J64" s="4">
        <f t="shared" si="7"/>
        <v>1</v>
      </c>
      <c r="K64" s="6">
        <f t="shared" si="8"/>
        <v>1</v>
      </c>
    </row>
    <row r="65" spans="1:11" x14ac:dyDescent="0.2">
      <c r="A65" s="3" t="s">
        <v>339</v>
      </c>
      <c r="B65" s="4" t="s">
        <v>366</v>
      </c>
      <c r="C65" s="4" t="s">
        <v>162</v>
      </c>
      <c r="D65" s="4" t="s">
        <v>356</v>
      </c>
      <c r="E65" s="5" t="s">
        <v>174</v>
      </c>
      <c r="F65" s="4" t="s">
        <v>367</v>
      </c>
      <c r="G65" s="4" t="s">
        <v>175</v>
      </c>
      <c r="H65" s="4">
        <v>1</v>
      </c>
      <c r="I65" s="4">
        <f t="shared" si="6"/>
        <v>1</v>
      </c>
      <c r="J65" s="4">
        <f t="shared" si="7"/>
        <v>1</v>
      </c>
      <c r="K65" s="6">
        <f t="shared" si="8"/>
        <v>1</v>
      </c>
    </row>
    <row r="66" spans="1:11" x14ac:dyDescent="0.2">
      <c r="A66" s="3" t="s">
        <v>340</v>
      </c>
      <c r="B66" s="4" t="s">
        <v>368</v>
      </c>
      <c r="C66" s="4" t="s">
        <v>12</v>
      </c>
      <c r="D66" s="4" t="s">
        <v>224</v>
      </c>
      <c r="E66" s="5" t="s">
        <v>178</v>
      </c>
      <c r="F66" s="4" t="s">
        <v>371</v>
      </c>
      <c r="G66" s="4" t="s">
        <v>179</v>
      </c>
      <c r="H66" s="4">
        <v>2</v>
      </c>
      <c r="I66" s="4">
        <f t="shared" si="6"/>
        <v>0</v>
      </c>
      <c r="J66" s="4">
        <f t="shared" si="7"/>
        <v>1</v>
      </c>
      <c r="K66" s="6">
        <f t="shared" si="8"/>
        <v>0.5</v>
      </c>
    </row>
    <row r="67" spans="1:11" ht="19" customHeight="1" x14ac:dyDescent="0.2">
      <c r="A67" s="3" t="s">
        <v>341</v>
      </c>
      <c r="B67" s="4" t="s">
        <v>372</v>
      </c>
      <c r="C67" s="4" t="s">
        <v>12</v>
      </c>
      <c r="D67" s="4" t="s">
        <v>224</v>
      </c>
      <c r="E67" s="5" t="s">
        <v>181</v>
      </c>
      <c r="F67" s="4" t="s">
        <v>373</v>
      </c>
      <c r="G67" s="4" t="s">
        <v>182</v>
      </c>
      <c r="H67" s="4">
        <v>1</v>
      </c>
      <c r="I67" s="4">
        <f t="shared" si="6"/>
        <v>1</v>
      </c>
      <c r="J67" s="4">
        <f t="shared" si="7"/>
        <v>1</v>
      </c>
      <c r="K67" s="6">
        <f t="shared" si="8"/>
        <v>1</v>
      </c>
    </row>
    <row r="68" spans="1:11" x14ac:dyDescent="0.2">
      <c r="A68" s="3" t="s">
        <v>342</v>
      </c>
      <c r="B68" s="4" t="s">
        <v>369</v>
      </c>
      <c r="C68" s="4" t="s">
        <v>12</v>
      </c>
      <c r="D68" s="4" t="s">
        <v>224</v>
      </c>
      <c r="E68" s="5" t="s">
        <v>184</v>
      </c>
      <c r="F68" s="4" t="s">
        <v>374</v>
      </c>
      <c r="G68" s="4" t="s">
        <v>375</v>
      </c>
      <c r="H68" s="4">
        <v>1</v>
      </c>
      <c r="I68" s="4">
        <f t="shared" si="6"/>
        <v>1</v>
      </c>
      <c r="J68" s="4">
        <f t="shared" si="7"/>
        <v>1</v>
      </c>
      <c r="K68" s="6">
        <f t="shared" si="8"/>
        <v>1</v>
      </c>
    </row>
    <row r="69" spans="1:11" x14ac:dyDescent="0.2">
      <c r="A69" s="3" t="s">
        <v>343</v>
      </c>
      <c r="B69" s="4" t="s">
        <v>370</v>
      </c>
      <c r="C69" s="4" t="s">
        <v>12</v>
      </c>
      <c r="D69" s="4" t="s">
        <v>224</v>
      </c>
      <c r="E69" s="5" t="s">
        <v>186</v>
      </c>
      <c r="F69" s="8" t="s">
        <v>376</v>
      </c>
      <c r="G69" s="4" t="s">
        <v>187</v>
      </c>
      <c r="H69" s="4">
        <v>1</v>
      </c>
      <c r="I69" s="4">
        <f t="shared" si="6"/>
        <v>1</v>
      </c>
      <c r="J69" s="4">
        <f t="shared" si="7"/>
        <v>1</v>
      </c>
      <c r="K69" s="6">
        <f t="shared" si="8"/>
        <v>1</v>
      </c>
    </row>
    <row r="70" spans="1:11" x14ac:dyDescent="0.2">
      <c r="A70" s="3" t="s">
        <v>105</v>
      </c>
      <c r="B70" s="4" t="s">
        <v>377</v>
      </c>
      <c r="C70" s="4" t="s">
        <v>12</v>
      </c>
      <c r="D70" s="4" t="s">
        <v>224</v>
      </c>
      <c r="E70" s="8" t="s">
        <v>386</v>
      </c>
      <c r="F70" s="8" t="s">
        <v>376</v>
      </c>
      <c r="G70" s="4" t="s">
        <v>189</v>
      </c>
      <c r="H70" s="4">
        <v>1</v>
      </c>
      <c r="I70" s="4">
        <f t="shared" ref="I70:I79" si="9">IF(H70="","",IF(H70&lt;=1,1,0))</f>
        <v>1</v>
      </c>
      <c r="J70" s="4">
        <f t="shared" ref="J70:J79" si="10">IF(H70="","",IF(H70&lt;=3,1,0))</f>
        <v>1</v>
      </c>
      <c r="K70" s="6">
        <f t="shared" ref="K70:K79" si="11">IF(H70="","",IF(H70&lt;=10,1/H70,0))</f>
        <v>1</v>
      </c>
    </row>
    <row r="71" spans="1:11" x14ac:dyDescent="0.2">
      <c r="A71" s="3" t="s">
        <v>107</v>
      </c>
      <c r="B71" s="4" t="s">
        <v>378</v>
      </c>
      <c r="C71" s="4" t="s">
        <v>12</v>
      </c>
      <c r="D71" s="4" t="s">
        <v>224</v>
      </c>
      <c r="E71" s="5" t="s">
        <v>191</v>
      </c>
      <c r="F71" s="4" t="s">
        <v>325</v>
      </c>
      <c r="G71" s="4" t="s">
        <v>192</v>
      </c>
      <c r="H71" s="4">
        <v>1</v>
      </c>
      <c r="I71" s="4">
        <f t="shared" si="9"/>
        <v>1</v>
      </c>
      <c r="J71" s="4">
        <f t="shared" si="10"/>
        <v>1</v>
      </c>
      <c r="K71" s="6">
        <f t="shared" si="11"/>
        <v>1</v>
      </c>
    </row>
    <row r="72" spans="1:11" x14ac:dyDescent="0.2">
      <c r="A72" s="3" t="s">
        <v>110</v>
      </c>
      <c r="B72" s="4" t="s">
        <v>379</v>
      </c>
      <c r="C72" s="4" t="s">
        <v>12</v>
      </c>
      <c r="D72" s="4" t="s">
        <v>224</v>
      </c>
      <c r="E72" s="5" t="s">
        <v>194</v>
      </c>
      <c r="F72" s="8" t="s">
        <v>376</v>
      </c>
      <c r="G72" s="4" t="s">
        <v>195</v>
      </c>
      <c r="H72" s="4">
        <v>1</v>
      </c>
      <c r="I72" s="4">
        <f t="shared" si="9"/>
        <v>1</v>
      </c>
      <c r="J72" s="4">
        <f t="shared" si="10"/>
        <v>1</v>
      </c>
      <c r="K72" s="6">
        <f t="shared" si="11"/>
        <v>1</v>
      </c>
    </row>
    <row r="73" spans="1:11" x14ac:dyDescent="0.2">
      <c r="A73" s="3" t="s">
        <v>113</v>
      </c>
      <c r="B73" s="4" t="s">
        <v>380</v>
      </c>
      <c r="C73" s="4" t="s">
        <v>12</v>
      </c>
      <c r="D73" s="4" t="s">
        <v>224</v>
      </c>
      <c r="E73" s="5" t="s">
        <v>197</v>
      </c>
      <c r="F73" s="8" t="s">
        <v>376</v>
      </c>
      <c r="G73" s="4" t="s">
        <v>198</v>
      </c>
      <c r="H73" s="4">
        <v>1</v>
      </c>
      <c r="I73" s="4">
        <f t="shared" si="9"/>
        <v>1</v>
      </c>
      <c r="J73" s="4">
        <f t="shared" si="10"/>
        <v>1</v>
      </c>
      <c r="K73" s="6">
        <f t="shared" si="11"/>
        <v>1</v>
      </c>
    </row>
    <row r="74" spans="1:11" x14ac:dyDescent="0.2">
      <c r="A74" s="3" t="s">
        <v>116</v>
      </c>
      <c r="B74" s="4" t="s">
        <v>381</v>
      </c>
      <c r="C74" s="4" t="s">
        <v>12</v>
      </c>
      <c r="D74" s="4" t="s">
        <v>387</v>
      </c>
      <c r="E74" s="5" t="s">
        <v>201</v>
      </c>
      <c r="F74" s="8" t="s">
        <v>376</v>
      </c>
      <c r="G74" s="4" t="s">
        <v>202</v>
      </c>
      <c r="H74" s="4">
        <v>1</v>
      </c>
      <c r="I74" s="4">
        <f t="shared" si="9"/>
        <v>1</v>
      </c>
      <c r="J74" s="4">
        <f t="shared" si="10"/>
        <v>1</v>
      </c>
      <c r="K74" s="6">
        <f t="shared" si="11"/>
        <v>1</v>
      </c>
    </row>
    <row r="75" spans="1:11" x14ac:dyDescent="0.2">
      <c r="A75" s="3" t="s">
        <v>119</v>
      </c>
      <c r="B75" s="4" t="s">
        <v>382</v>
      </c>
      <c r="C75" s="4" t="s">
        <v>12</v>
      </c>
      <c r="D75" s="4" t="s">
        <v>388</v>
      </c>
      <c r="E75" s="8" t="s">
        <v>389</v>
      </c>
      <c r="F75" s="8" t="s">
        <v>376</v>
      </c>
      <c r="G75" s="4" t="s">
        <v>206</v>
      </c>
      <c r="H75" s="4">
        <v>1</v>
      </c>
      <c r="I75" s="4">
        <f t="shared" si="9"/>
        <v>1</v>
      </c>
      <c r="J75" s="4">
        <f t="shared" si="10"/>
        <v>1</v>
      </c>
      <c r="K75" s="6">
        <f t="shared" si="11"/>
        <v>1</v>
      </c>
    </row>
    <row r="76" spans="1:11" x14ac:dyDescent="0.2">
      <c r="A76" s="3" t="s">
        <v>147</v>
      </c>
      <c r="B76" s="4" t="s">
        <v>209</v>
      </c>
      <c r="C76" s="4" t="s">
        <v>45</v>
      </c>
      <c r="D76" s="4" t="s">
        <v>237</v>
      </c>
      <c r="E76" s="5" t="s">
        <v>210</v>
      </c>
      <c r="F76" s="4" t="s">
        <v>249</v>
      </c>
      <c r="G76" s="4" t="s">
        <v>211</v>
      </c>
      <c r="H76" s="4">
        <v>1</v>
      </c>
      <c r="I76" s="4">
        <f t="shared" si="9"/>
        <v>1</v>
      </c>
      <c r="J76" s="4">
        <f t="shared" si="10"/>
        <v>1</v>
      </c>
      <c r="K76" s="6">
        <f t="shared" si="11"/>
        <v>1</v>
      </c>
    </row>
    <row r="77" spans="1:11" x14ac:dyDescent="0.2">
      <c r="A77" s="3" t="s">
        <v>410</v>
      </c>
      <c r="B77" s="4" t="s">
        <v>383</v>
      </c>
      <c r="C77" s="4" t="s">
        <v>45</v>
      </c>
      <c r="D77" s="4" t="s">
        <v>390</v>
      </c>
      <c r="E77" s="8" t="s">
        <v>213</v>
      </c>
      <c r="F77" s="4" t="s">
        <v>391</v>
      </c>
      <c r="G77" s="4" t="s">
        <v>214</v>
      </c>
      <c r="H77" s="4">
        <v>1</v>
      </c>
      <c r="I77" s="4">
        <f t="shared" si="9"/>
        <v>1</v>
      </c>
      <c r="J77" s="4">
        <f t="shared" si="10"/>
        <v>1</v>
      </c>
      <c r="K77" s="6">
        <f t="shared" si="11"/>
        <v>1</v>
      </c>
    </row>
    <row r="78" spans="1:11" x14ac:dyDescent="0.2">
      <c r="A78" s="3" t="s">
        <v>411</v>
      </c>
      <c r="B78" s="4" t="s">
        <v>384</v>
      </c>
      <c r="C78" s="4" t="s">
        <v>45</v>
      </c>
      <c r="D78" s="4" t="s">
        <v>239</v>
      </c>
      <c r="E78" s="5" t="s">
        <v>217</v>
      </c>
      <c r="F78" s="4" t="s">
        <v>392</v>
      </c>
      <c r="G78" s="4" t="s">
        <v>218</v>
      </c>
      <c r="H78" s="4">
        <v>1</v>
      </c>
      <c r="I78" s="4">
        <f t="shared" si="9"/>
        <v>1</v>
      </c>
      <c r="J78" s="4">
        <f t="shared" si="10"/>
        <v>1</v>
      </c>
      <c r="K78" s="6">
        <f t="shared" si="11"/>
        <v>1</v>
      </c>
    </row>
    <row r="79" spans="1:11" x14ac:dyDescent="0.2">
      <c r="A79" s="3" t="s">
        <v>412</v>
      </c>
      <c r="B79" s="4" t="s">
        <v>385</v>
      </c>
      <c r="C79" s="4" t="s">
        <v>45</v>
      </c>
      <c r="D79" s="4" t="s">
        <v>239</v>
      </c>
      <c r="E79" s="5" t="s">
        <v>220</v>
      </c>
      <c r="F79" s="4" t="s">
        <v>393</v>
      </c>
      <c r="G79" s="4" t="s">
        <v>221</v>
      </c>
      <c r="H79" s="4">
        <v>1</v>
      </c>
      <c r="I79" s="4">
        <f t="shared" si="9"/>
        <v>1</v>
      </c>
      <c r="J79" s="4">
        <f t="shared" si="10"/>
        <v>1</v>
      </c>
      <c r="K79" s="6">
        <f t="shared" si="11"/>
        <v>1</v>
      </c>
    </row>
  </sheetData>
  <autoFilter ref="C1:C79" xr:uid="{00000000-0001-0000-0000-000000000000}"/>
  <phoneticPr fontId="3" type="noConversion"/>
  <hyperlinks>
    <hyperlink ref="E2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  <hyperlink ref="E15" r:id="rId13" xr:uid="{00000000-0004-0000-0000-00000C000000}"/>
    <hyperlink ref="E16" r:id="rId14" xr:uid="{00000000-0004-0000-0000-00000D000000}"/>
    <hyperlink ref="E17" r:id="rId15" xr:uid="{00000000-0004-0000-0000-00000E000000}"/>
    <hyperlink ref="E18" r:id="rId16" xr:uid="{00000000-0004-0000-0000-00000F000000}"/>
    <hyperlink ref="E20" r:id="rId17" xr:uid="{00000000-0004-0000-0000-000011000000}"/>
    <hyperlink ref="E21" r:id="rId18" xr:uid="{00000000-0004-0000-0000-000012000000}"/>
    <hyperlink ref="E22" r:id="rId19" xr:uid="{00000000-0004-0000-0000-000013000000}"/>
    <hyperlink ref="E23" r:id="rId20" xr:uid="{00000000-0004-0000-0000-000014000000}"/>
    <hyperlink ref="E24" r:id="rId21" xr:uid="{00000000-0004-0000-0000-000015000000}"/>
    <hyperlink ref="E25" r:id="rId22" xr:uid="{00000000-0004-0000-0000-000016000000}"/>
    <hyperlink ref="E26" r:id="rId23" xr:uid="{00000000-0004-0000-0000-000017000000}"/>
    <hyperlink ref="E27" r:id="rId24" xr:uid="{00000000-0004-0000-0000-000018000000}"/>
    <hyperlink ref="E28" r:id="rId25" xr:uid="{00000000-0004-0000-0000-000019000000}"/>
    <hyperlink ref="E29" r:id="rId26" xr:uid="{00000000-0004-0000-0000-00001A000000}"/>
    <hyperlink ref="E32" r:id="rId27" xr:uid="{00000000-0004-0000-0000-00001C000000}"/>
    <hyperlink ref="F32" r:id="rId28" xr:uid="{00000000-0004-0000-0000-00001D000000}"/>
    <hyperlink ref="E33" r:id="rId29" xr:uid="{00000000-0004-0000-0000-00001E000000}"/>
    <hyperlink ref="F33" r:id="rId30" xr:uid="{00000000-0004-0000-0000-00001F000000}"/>
    <hyperlink ref="E34" r:id="rId31" xr:uid="{00000000-0004-0000-0000-000020000000}"/>
    <hyperlink ref="E35" r:id="rId32" xr:uid="{00000000-0004-0000-0000-000021000000}"/>
    <hyperlink ref="E36" r:id="rId33" xr:uid="{00000000-0004-0000-0000-000022000000}"/>
    <hyperlink ref="E37" r:id="rId34" xr:uid="{00000000-0004-0000-0000-000023000000}"/>
    <hyperlink ref="E38" r:id="rId35" xr:uid="{00000000-0004-0000-0000-000024000000}"/>
    <hyperlink ref="E39" r:id="rId36" xr:uid="{00000000-0004-0000-0000-000025000000}"/>
    <hyperlink ref="E40" r:id="rId37" xr:uid="{00000000-0004-0000-0000-000026000000}"/>
    <hyperlink ref="E41" r:id="rId38" xr:uid="{00000000-0004-0000-0000-000027000000}"/>
    <hyperlink ref="E42" r:id="rId39" xr:uid="{00000000-0004-0000-0000-000028000000}"/>
    <hyperlink ref="E43" r:id="rId40" xr:uid="{00000000-0004-0000-0000-000029000000}"/>
    <hyperlink ref="E44" r:id="rId41" xr:uid="{00000000-0004-0000-0000-00002A000000}"/>
    <hyperlink ref="E45" r:id="rId42" xr:uid="{00000000-0004-0000-0000-00002B000000}"/>
    <hyperlink ref="E46" r:id="rId43" xr:uid="{00000000-0004-0000-0000-00002C000000}"/>
    <hyperlink ref="E47" r:id="rId44" xr:uid="{00000000-0004-0000-0000-00002D000000}"/>
    <hyperlink ref="E48" r:id="rId45" xr:uid="{00000000-0004-0000-0000-00002E000000}"/>
    <hyperlink ref="E49" r:id="rId46" xr:uid="{00000000-0004-0000-0000-00002F000000}"/>
    <hyperlink ref="E50" r:id="rId47" xr:uid="{00000000-0004-0000-0000-000030000000}"/>
    <hyperlink ref="E51" r:id="rId48" xr:uid="{00000000-0004-0000-0000-000031000000}"/>
    <hyperlink ref="E53" r:id="rId49" xr:uid="{00000000-0004-0000-0000-000032000000}"/>
    <hyperlink ref="E55" r:id="rId50" xr:uid="{00000000-0004-0000-0000-000034000000}"/>
    <hyperlink ref="E56" r:id="rId51" xr:uid="{00000000-0004-0000-0000-000035000000}"/>
    <hyperlink ref="E57" r:id="rId52" xr:uid="{00000000-0004-0000-0000-000036000000}"/>
    <hyperlink ref="E60" r:id="rId53" xr:uid="{00000000-0004-0000-0000-000037000000}"/>
    <hyperlink ref="E61" r:id="rId54" xr:uid="{00000000-0004-0000-0000-000038000000}"/>
    <hyperlink ref="E62" r:id="rId55" xr:uid="{00000000-0004-0000-0000-000039000000}"/>
    <hyperlink ref="E63" r:id="rId56" xr:uid="{00000000-0004-0000-0000-00003A000000}"/>
    <hyperlink ref="E64" r:id="rId57" xr:uid="{00000000-0004-0000-0000-00003B000000}"/>
    <hyperlink ref="E65" r:id="rId58" xr:uid="{00000000-0004-0000-0000-00003C000000}"/>
    <hyperlink ref="E66" r:id="rId59" xr:uid="{00000000-0004-0000-0000-00003E000000}"/>
    <hyperlink ref="E67" r:id="rId60" xr:uid="{00000000-0004-0000-0000-00003F000000}"/>
    <hyperlink ref="E68" r:id="rId61" xr:uid="{00000000-0004-0000-0000-000040000000}"/>
    <hyperlink ref="E69" r:id="rId62" xr:uid="{00000000-0004-0000-0000-000041000000}"/>
    <hyperlink ref="E70" r:id="rId63" xr:uid="{00000000-0004-0000-0000-000042000000}"/>
    <hyperlink ref="E71" r:id="rId64" xr:uid="{00000000-0004-0000-0000-000043000000}"/>
    <hyperlink ref="E72" r:id="rId65" xr:uid="{00000000-0004-0000-0000-000044000000}"/>
    <hyperlink ref="E73" r:id="rId66" xr:uid="{00000000-0004-0000-0000-000045000000}"/>
    <hyperlink ref="E74" r:id="rId67" xr:uid="{00000000-0004-0000-0000-000047000000}"/>
    <hyperlink ref="E75" r:id="rId68" xr:uid="{00000000-0004-0000-0000-00004A000000}"/>
    <hyperlink ref="E76" r:id="rId69" xr:uid="{00000000-0004-0000-0000-00004C000000}"/>
    <hyperlink ref="E77" r:id="rId70" xr:uid="{00000000-0004-0000-0000-00004D000000}"/>
    <hyperlink ref="E78" r:id="rId71" xr:uid="{00000000-0004-0000-0000-00004F000000}"/>
    <hyperlink ref="E79" r:id="rId72" xr:uid="{00000000-0004-0000-0000-000050000000}"/>
    <hyperlink ref="F8" r:id="rId73" xr:uid="{4162B235-89FE-8C40-8EEA-6C65E8E3B583}"/>
    <hyperlink ref="E19" r:id="rId74" display="https://help.surveymonkey.com/en/surveymonkey/send/email-invitations" xr:uid="{00000000-0004-0000-0000-000010000000}"/>
    <hyperlink ref="F36" r:id="rId75" xr:uid="{1D33082B-75B2-8B42-B760-53D21C75D4B2}"/>
    <hyperlink ref="F43" r:id="rId76" xr:uid="{DB4BEC90-4254-8547-995B-A8736E39C88E}"/>
    <hyperlink ref="F47" r:id="rId77" xr:uid="{D3E2DC25-93FA-464E-8DFC-6BE8F8DD0DD6}"/>
    <hyperlink ref="E54" r:id="rId78" xr:uid="{00000000-0004-0000-0000-000033000000}"/>
    <hyperlink ref="F69" r:id="rId79" xr:uid="{E340B5F1-0B63-4D45-A565-759721CE191C}"/>
    <hyperlink ref="F70" r:id="rId80" xr:uid="{C206141D-B894-C14E-8A4C-595B876977A9}"/>
    <hyperlink ref="F72" r:id="rId81" xr:uid="{A12A9957-2DCB-6746-AA42-CEF14D2308C4}"/>
    <hyperlink ref="F73" r:id="rId82" xr:uid="{8602A6B0-2B70-1748-918D-20B75B34C309}"/>
    <hyperlink ref="F74" r:id="rId83" xr:uid="{9F73F8D5-2040-E443-8F44-BD5D2C0B2834}"/>
    <hyperlink ref="F75" r:id="rId84" xr:uid="{9FD8CC56-29C6-F347-B42C-2E2AA0B3651E}"/>
    <hyperlink ref="E31" r:id="rId85" xr:uid="{00000000-0004-0000-0000-00001B000000}"/>
    <hyperlink ref="E30" r:id="rId86" xr:uid="{4672EC04-B457-994D-863F-CCEF217C49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Golden dataset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Aritra Ray</cp:lastModifiedBy>
  <dcterms:created xsi:type="dcterms:W3CDTF">2025-10-06T01:35:16Z</dcterms:created>
  <dcterms:modified xsi:type="dcterms:W3CDTF">2025-11-14T17:16:35Z</dcterms:modified>
</cp:coreProperties>
</file>